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hidePivotFieldList="1" showPivotChartFilter="1" defaultThemeVersion="124226"/>
  <xr:revisionPtr revIDLastSave="0" documentId="13_ncr:1_{B90B6491-7260-41FD-81C9-A16DCDE447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ents" sheetId="1" r:id="rId1"/>
    <sheet name="Pivot" sheetId="6" r:id="rId2"/>
    <sheet name="Calculation " sheetId="7" r:id="rId3"/>
    <sheet name="Descriptions" sheetId="2" r:id="rId4"/>
    <sheet name="Margins" sheetId="4" r:id="rId5"/>
  </sheets>
  <definedNames>
    <definedName name="_xlnm._FilterDatabase" localSheetId="0" hidden="1">Events!$A$1:$K$493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G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2" i="1"/>
  <c r="B9" i="7" a="1"/>
  <c r="B9" i="7" s="1"/>
  <c r="B8" i="7" a="1"/>
  <c r="B8" i="7" s="1"/>
  <c r="B7" i="7" a="1"/>
  <c r="B7" i="7" s="1"/>
  <c r="B6" i="7" a="1"/>
  <c r="B6" i="7" s="1"/>
  <c r="B5" i="7" a="1"/>
  <c r="B5" i="7" s="1"/>
  <c r="B4" i="7" a="1"/>
  <c r="B4" i="7" s="1"/>
  <c r="B3" i="7" a="1"/>
  <c r="B3" i="7" s="1"/>
  <c r="B2" i="7" a="1"/>
  <c r="B2" i="7" s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2" i="1"/>
  <c r="C4" i="7" l="1" a="1"/>
  <c r="C4" i="7" s="1"/>
  <c r="C8" i="7" a="1"/>
  <c r="C8" i="7" s="1"/>
  <c r="C3" i="7" a="1"/>
  <c r="C3" i="7" s="1"/>
  <c r="C2" i="7" a="1"/>
  <c r="C2" i="7" s="1"/>
  <c r="C5" i="7" a="1"/>
  <c r="C5" i="7" s="1"/>
  <c r="C6" i="7" a="1"/>
  <c r="C6" i="7" s="1"/>
  <c r="C7" i="7" a="1"/>
  <c r="C7" i="7" s="1"/>
  <c r="C9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<sst xmlns="http://schemas.openxmlformats.org/spreadsheetml/2006/main" count="2066" uniqueCount="101">
  <si>
    <t>Romeo and Juliet</t>
  </si>
  <si>
    <t>Sing</t>
  </si>
  <si>
    <t>Vienna</t>
  </si>
  <si>
    <t>Musical</t>
  </si>
  <si>
    <t>We will roll you</t>
  </si>
  <si>
    <t>Madrid</t>
  </si>
  <si>
    <t>Tom Jovi</t>
  </si>
  <si>
    <t>Beauty and the beast</t>
  </si>
  <si>
    <t>Notre Dame de Paris</t>
  </si>
  <si>
    <t>Rock in London</t>
  </si>
  <si>
    <t>Summer Fest</t>
  </si>
  <si>
    <t>POS</t>
  </si>
  <si>
    <t>London Blues Fest</t>
  </si>
  <si>
    <t>Soul in Berlin</t>
  </si>
  <si>
    <t>Flashdance</t>
  </si>
  <si>
    <t>Mark Rodgers</t>
  </si>
  <si>
    <t>Joe Alledi</t>
  </si>
  <si>
    <t>Pause</t>
  </si>
  <si>
    <t>Turandot</t>
  </si>
  <si>
    <t>Aida</t>
  </si>
  <si>
    <t>Opera</t>
  </si>
  <si>
    <t>Die Walküre</t>
  </si>
  <si>
    <t>Tosca</t>
  </si>
  <si>
    <t>Il lago dei cigni</t>
  </si>
  <si>
    <t>Filarmonica di Milano</t>
  </si>
  <si>
    <t>Filarmonica di Mosca</t>
  </si>
  <si>
    <t>Orchestra e Coro dell'Opera</t>
  </si>
  <si>
    <t>Lo schiaccianoci</t>
  </si>
  <si>
    <t>Southern Lights Festival</t>
  </si>
  <si>
    <t>Festival</t>
  </si>
  <si>
    <t>Amsterdam</t>
  </si>
  <si>
    <t>Europe Rocks</t>
  </si>
  <si>
    <t>Midnight Soul</t>
  </si>
  <si>
    <t>Plastic Jungle</t>
  </si>
  <si>
    <t>Electrika</t>
  </si>
  <si>
    <t>John Green Quartet</t>
  </si>
  <si>
    <t>Corrosion</t>
  </si>
  <si>
    <t>Corrosion + Electrika</t>
  </si>
  <si>
    <t/>
  </si>
  <si>
    <t>Event</t>
  </si>
  <si>
    <t>City</t>
  </si>
  <si>
    <t>Event Date</t>
  </si>
  <si>
    <t>Genre</t>
  </si>
  <si>
    <t>Ticket Price (euro)</t>
  </si>
  <si>
    <t>Ticket Category</t>
  </si>
  <si>
    <t>Tickets Available</t>
  </si>
  <si>
    <t>Tickets Sold</t>
  </si>
  <si>
    <t>Stockholm</t>
  </si>
  <si>
    <t>Paris</t>
  </si>
  <si>
    <t>Nice</t>
  </si>
  <si>
    <t>Lyon</t>
  </si>
  <si>
    <t>Barcelona</t>
  </si>
  <si>
    <t>London</t>
  </si>
  <si>
    <t>Hamburg</t>
  </si>
  <si>
    <t>Berlin</t>
  </si>
  <si>
    <t>Zurich</t>
  </si>
  <si>
    <t>Edinburgh</t>
  </si>
  <si>
    <t>Code</t>
  </si>
  <si>
    <t>Description</t>
  </si>
  <si>
    <t>Ticket + Air travel Package</t>
  </si>
  <si>
    <t>Ticket + Air travel + Hotel Package</t>
  </si>
  <si>
    <t>Parking place</t>
  </si>
  <si>
    <t>SC1</t>
  </si>
  <si>
    <t>SC2</t>
  </si>
  <si>
    <t>SC3</t>
  </si>
  <si>
    <t>TA1</t>
  </si>
  <si>
    <t>TA2</t>
  </si>
  <si>
    <t>SCD</t>
  </si>
  <si>
    <t>GA1</t>
  </si>
  <si>
    <t>GA2</t>
  </si>
  <si>
    <t>GA3</t>
  </si>
  <si>
    <t>General Admission (1 day)</t>
  </si>
  <si>
    <t>General Admission (2 days)</t>
  </si>
  <si>
    <t>General Admission (season ticket)</t>
  </si>
  <si>
    <t>Seating Cat. 1</t>
  </si>
  <si>
    <t>Seating Cat. 2</t>
  </si>
  <si>
    <t>Seating Cat. 3</t>
  </si>
  <si>
    <t>Seating-disabled</t>
  </si>
  <si>
    <t xml:space="preserve">Percentage Turnover Margin </t>
  </si>
  <si>
    <t>Concert</t>
  </si>
  <si>
    <t>Classical</t>
  </si>
  <si>
    <t>Ballet</t>
  </si>
  <si>
    <t>Theatre</t>
  </si>
  <si>
    <t>Margin %</t>
  </si>
  <si>
    <t>Days</t>
  </si>
  <si>
    <t>Row Labels</t>
  </si>
  <si>
    <t>Grand Total</t>
  </si>
  <si>
    <t>Jun</t>
  </si>
  <si>
    <t>Jul</t>
  </si>
  <si>
    <t>Aug</t>
  </si>
  <si>
    <t>Column Labels</t>
  </si>
  <si>
    <t>Sum of Tickets Sold</t>
  </si>
  <si>
    <t>(All)</t>
  </si>
  <si>
    <t>Margin Euros</t>
  </si>
  <si>
    <t>Rating</t>
  </si>
  <si>
    <t>Margin Eros</t>
  </si>
  <si>
    <t xml:space="preserve">Avg % of Sales </t>
  </si>
  <si>
    <t xml:space="preserve">Total Margin € </t>
  </si>
  <si>
    <t>Theater</t>
  </si>
  <si>
    <t>Total</t>
  </si>
  <si>
    <t>Ticket 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</si>
</sst>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3" xfId="0" pivotButton="1" applyBorder="1"/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left" indent="1"/>
    </xf>
    <xf numFmtId="2" fontId="3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3" fillId="0" borderId="0" xfId="0" applyNumberFormat="1" applyFont="1" applyAlignment="1">
      <alignment horizontal="center" wrapText="1"/>
    </xf>
    <xf numFmtId="0" fontId="0" fillId="0" borderId="1" xfId="0" applyBorder="1"/>
    <xf numFmtId="0" fontId="0" fillId="0" borderId="5" xfId="0" applyBorder="1"/>
    <xf numFmtId="0" fontId="0" fillId="2" borderId="4" xfId="0" applyFill="1" applyBorder="1"/>
    <xf numFmtId="0" fontId="0" fillId="2" borderId="3" xfId="0" applyFill="1" applyBorder="1" applyAlignment="1">
      <alignment horizontal="left"/>
    </xf>
    <xf numFmtId="0" fontId="0" fillId="2" borderId="3" xfId="0" applyFill="1" applyBorder="1"/>
  </cellXfs>
  <cellStyles count="1">
    <cellStyle name="Normal" xfId="0" builtinId="0"/>
  </cellStyles>
  <dxfs count="34">
    <dxf>
      <fill>
        <patternFill>
          <bgColor rgb="FFFFC000"/>
        </patternFill>
      </fill>
    </dxf>
    <dxf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border diagonalUp="0" diagonalDown="0">
        <left/>
        <right/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border>
        <top style="medium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12.454011805552" createdVersion="8" refreshedVersion="8" minRefreshableVersion="3" recordCount="492" xr:uid="{F6F225A2-1F64-439F-8438-D7B50A279EE2}">
  <cacheSource type="worksheet">
    <worksheetSource name="Table1"/>
  </cacheSource>
  <cacheFields count="13">
    <cacheField name="Event" numFmtId="0">
      <sharedItems/>
    </cacheField>
    <cacheField name="City" numFmtId="0">
      <sharedItems count="13">
        <s v="Vienna"/>
        <s v="Madrid"/>
        <s v="Stockholm"/>
        <s v="Lyon"/>
        <s v="Nice"/>
        <s v="Paris"/>
        <s v="Barcelona"/>
        <s v="London"/>
        <s v="Hamburg"/>
        <s v="Berlin"/>
        <s v="Zurich"/>
        <s v="Edinburgh"/>
        <s v="Amsterdam"/>
      </sharedItems>
    </cacheField>
    <cacheField name="Event Date" numFmtId="14">
      <sharedItems containsSemiMixedTypes="0" containsNonDate="0" containsDate="1" containsString="0" minDate="2017-06-01T00:00:00" maxDate="2017-08-29T00:00:00" count="70">
        <d v="2017-06-10T00:00:00"/>
        <d v="2017-06-18T00:00:00"/>
        <d v="2017-06-24T00:00:00"/>
        <d v="2017-07-13T00:00:00"/>
        <d v="2017-07-24T00:00:00"/>
        <d v="2017-08-28T00:00:00"/>
        <d v="2017-06-26T00:00:00"/>
        <d v="2017-07-02T00:00:00"/>
        <d v="2017-07-06T00:00:00"/>
        <d v="2017-08-04T00:00:00"/>
        <d v="2017-08-10T00:00:00"/>
        <d v="2017-08-16T00:00:00"/>
        <d v="2017-08-21T00:00:00"/>
        <d v="2017-08-23T00:00:00"/>
        <d v="2017-08-06T00:00:00"/>
        <d v="2017-07-29T00:00:00"/>
        <d v="2017-08-01T00:00:00"/>
        <d v="2017-06-02T00:00:00"/>
        <d v="2017-07-01T00:00:00"/>
        <d v="2017-07-23T00:00:00"/>
        <d v="2017-07-25T00:00:00"/>
        <d v="2017-07-10T00:00:00"/>
        <d v="2017-07-11T00:00:00"/>
        <d v="2017-07-21T00:00:00"/>
        <d v="2017-07-22T00:00:00"/>
        <d v="2017-07-26T00:00:00"/>
        <d v="2017-08-09T00:00:00"/>
        <d v="2017-08-15T00:00:00"/>
        <d v="2017-06-12T00:00:00"/>
        <d v="2017-07-18T00:00:00"/>
        <d v="2017-06-06T00:00:00"/>
        <d v="2017-07-17T00:00:00"/>
        <d v="2017-08-24T00:00:00"/>
        <d v="2017-06-25T00:00:00"/>
        <d v="2017-08-05T00:00:00"/>
        <d v="2017-08-12T00:00:00"/>
        <d v="2017-07-20T00:00:00"/>
        <d v="2017-08-26T00:00:00"/>
        <d v="2017-06-05T00:00:00"/>
        <d v="2017-07-15T00:00:00"/>
        <d v="2017-08-20T00:00:00"/>
        <d v="2017-06-03T00:00:00"/>
        <d v="2017-06-08T00:00:00"/>
        <d v="2017-06-14T00:00:00"/>
        <d v="2017-06-22T00:00:00"/>
        <d v="2017-06-30T00:00:00"/>
        <d v="2017-07-03T00:00:00"/>
        <d v="2017-07-28T00:00:00"/>
        <d v="2017-08-03T00:00:00"/>
        <d v="2017-06-27T00:00:00"/>
        <d v="2017-06-21T00:00:00"/>
        <d v="2017-08-11T00:00:00"/>
        <d v="2017-07-16T00:00:00"/>
        <d v="2017-06-11T00:00:00"/>
        <d v="2017-06-19T00:00:00"/>
        <d v="2017-07-27T00:00:00"/>
        <d v="2017-06-23T00:00:00"/>
        <d v="2017-08-27T00:00:00"/>
        <d v="2017-06-28T00:00:00"/>
        <d v="2017-07-05T00:00:00"/>
        <d v="2017-07-14T00:00:00"/>
        <d v="2017-08-18T00:00:00"/>
        <d v="2017-07-31T00:00:00"/>
        <d v="2017-06-01T00:00:00"/>
        <d v="2017-06-17T00:00:00"/>
        <d v="2017-08-07T00:00:00"/>
        <d v="2017-07-19T00:00:00"/>
        <d v="2017-07-07T00:00:00"/>
        <d v="2017-06-04T00:00:00"/>
        <d v="2017-07-08T00:00:00"/>
      </sharedItems>
      <fieldGroup par="12"/>
    </cacheField>
    <cacheField name="Genre" numFmtId="0">
      <sharedItems count="7">
        <s v="Opera"/>
        <s v="Musical"/>
        <s v="Concert"/>
        <s v="Festival"/>
        <s v="Classical"/>
        <s v="Ballet"/>
        <s v="Theatre"/>
      </sharedItems>
    </cacheField>
    <cacheField name="Ticket Price (euro)" numFmtId="0">
      <sharedItems containsMixedTypes="1" containsNumber="1" containsInteger="1" minValue="10" maxValue="400"/>
    </cacheField>
    <cacheField name="Ticket Category" numFmtId="0">
      <sharedItems count="10">
        <s v="SC1"/>
        <s v="SC2"/>
        <s v="SC3"/>
        <s v="TA1"/>
        <s v="TA2"/>
        <s v="SCD"/>
        <s v="POS"/>
        <s v="GA1"/>
        <s v="GA2"/>
        <s v="GA3"/>
      </sharedItems>
    </cacheField>
    <cacheField name="Tickets Available" numFmtId="0">
      <sharedItems containsSemiMixedTypes="0" containsString="0" containsNumber="1" containsInteger="1" minValue="45" maxValue="75000"/>
    </cacheField>
    <cacheField name="Tickets Sold" numFmtId="0">
      <sharedItems containsSemiMixedTypes="0" containsString="0" containsNumber="1" containsInteger="1" minValue="32" maxValue="70500"/>
    </cacheField>
    <cacheField name="Description" numFmtId="0">
      <sharedItems/>
    </cacheField>
    <cacheField name="Margin %" numFmtId="0">
      <sharedItems containsMixedTypes="1" containsNumber="1" minValue="0.1" maxValue="0.4"/>
    </cacheField>
    <cacheField name="Days" numFmtId="0">
      <sharedItems containsSemiMixedTypes="0" containsString="0" containsNumber="1" containsInteger="1" minValue="-2305" maxValue="-2242"/>
    </cacheField>
    <cacheField name="Days (Event Date)" numFmtId="0" databaseField="0">
      <fieldGroup base="2">
        <rangePr groupBy="days" startDate="2017-06-01T00:00:00" endDate="2017-08-29T00:00:00"/>
        <groupItems count="368">
          <s v="&lt;01-06-2017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9-08-2017"/>
        </groupItems>
      </fieldGroup>
    </cacheField>
    <cacheField name="Months (Event Date)" numFmtId="0" databaseField="0">
      <fieldGroup base="2">
        <rangePr groupBy="months" startDate="2017-06-01T00:00:00" endDate="2017-08-29T00:00:00"/>
        <groupItems count="14">
          <s v="&lt;01-06-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08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">
  <r>
    <s v="Aida"/>
    <x v="0"/>
    <x v="0"/>
    <x v="0"/>
    <n v="70"/>
    <x v="0"/>
    <n v="3000"/>
    <n v="1680"/>
    <s v="Seating Cat. 1"/>
    <s v="N.A."/>
    <n v="-2298"/>
  </r>
  <r>
    <s v="Aida"/>
    <x v="0"/>
    <x v="0"/>
    <x v="0"/>
    <n v="84"/>
    <x v="1"/>
    <n v="1000"/>
    <n v="740"/>
    <s v="Seating Cat. 2"/>
    <s v="N.A."/>
    <n v="-2298"/>
  </r>
  <r>
    <s v="Aida"/>
    <x v="0"/>
    <x v="0"/>
    <x v="0"/>
    <n v="121"/>
    <x v="2"/>
    <n v="500"/>
    <n v="250"/>
    <s v="Seating Cat. 3"/>
    <s v="N.A."/>
    <n v="-2298"/>
  </r>
  <r>
    <s v="Aida"/>
    <x v="0"/>
    <x v="0"/>
    <x v="0"/>
    <n v="272"/>
    <x v="3"/>
    <n v="300"/>
    <n v="198"/>
    <s v="Ticket + Air travel Package"/>
    <s v="N.A."/>
    <n v="-2298"/>
  </r>
  <r>
    <s v="Aida"/>
    <x v="0"/>
    <x v="0"/>
    <x v="0"/>
    <n v="370"/>
    <x v="4"/>
    <n v="400"/>
    <n v="324"/>
    <s v="Ticket + Air travel + Hotel Package"/>
    <s v="N.A."/>
    <n v="-2298"/>
  </r>
  <r>
    <s v="Aida"/>
    <x v="1"/>
    <x v="1"/>
    <x v="0"/>
    <n v="31"/>
    <x v="0"/>
    <n v="4000"/>
    <n v="2800"/>
    <s v="Seating Cat. 1"/>
    <s v="N.A."/>
    <n v="-2292"/>
  </r>
  <r>
    <s v="Aida"/>
    <x v="1"/>
    <x v="1"/>
    <x v="0"/>
    <n v="93"/>
    <x v="1"/>
    <n v="1200"/>
    <n v="1044"/>
    <s v="Seating Cat. 2"/>
    <s v="N.A."/>
    <n v="-2292"/>
  </r>
  <r>
    <s v="Aida"/>
    <x v="1"/>
    <x v="1"/>
    <x v="0"/>
    <n v="189"/>
    <x v="2"/>
    <n v="700"/>
    <n v="630"/>
    <s v="Seating Cat. 3"/>
    <s v="N.A."/>
    <n v="-2292"/>
  </r>
  <r>
    <s v="Aida"/>
    <x v="2"/>
    <x v="2"/>
    <x v="0"/>
    <n v="59"/>
    <x v="0"/>
    <n v="2000"/>
    <n v="1520"/>
    <s v="Seating Cat. 1"/>
    <s v="N.A."/>
    <n v="-2288"/>
  </r>
  <r>
    <s v="Aida"/>
    <x v="2"/>
    <x v="2"/>
    <x v="0"/>
    <n v="93"/>
    <x v="1"/>
    <n v="900"/>
    <n v="513"/>
    <s v="Seating Cat. 2"/>
    <s v="N.A."/>
    <n v="-2288"/>
  </r>
  <r>
    <s v="Aida"/>
    <x v="2"/>
    <x v="2"/>
    <x v="0"/>
    <n v="168"/>
    <x v="2"/>
    <n v="450"/>
    <n v="356"/>
    <s v="Seating Cat. 3"/>
    <s v="N.A."/>
    <n v="-2288"/>
  </r>
  <r>
    <s v="Aida"/>
    <x v="2"/>
    <x v="2"/>
    <x v="0"/>
    <n v="283"/>
    <x v="3"/>
    <n v="300"/>
    <n v="231"/>
    <s v="Ticket + Air travel Package"/>
    <s v="N.A."/>
    <n v="-2288"/>
  </r>
  <r>
    <s v="Aida"/>
    <x v="2"/>
    <x v="2"/>
    <x v="0"/>
    <n v="363"/>
    <x v="4"/>
    <n v="400"/>
    <n v="320"/>
    <s v="Ticket + Air travel + Hotel Package"/>
    <s v="N.A."/>
    <n v="-2288"/>
  </r>
  <r>
    <s v="Aida"/>
    <x v="3"/>
    <x v="3"/>
    <x v="0"/>
    <n v="68"/>
    <x v="0"/>
    <n v="2400"/>
    <n v="1752"/>
    <s v="Seating Cat. 1"/>
    <s v="N.A."/>
    <n v="-2275"/>
  </r>
  <r>
    <s v="Aida"/>
    <x v="3"/>
    <x v="3"/>
    <x v="0"/>
    <n v="89"/>
    <x v="1"/>
    <n v="750"/>
    <n v="578"/>
    <s v="Seating Cat. 2"/>
    <s v="N.A."/>
    <n v="-2275"/>
  </r>
  <r>
    <s v="Aida"/>
    <x v="4"/>
    <x v="4"/>
    <x v="0"/>
    <n v="70"/>
    <x v="0"/>
    <n v="3400"/>
    <n v="2754"/>
    <s v="Seating Cat. 1"/>
    <s v="N.A."/>
    <n v="-2267"/>
  </r>
  <r>
    <s v="Aida"/>
    <x v="4"/>
    <x v="4"/>
    <x v="0"/>
    <n v="115"/>
    <x v="1"/>
    <n v="950"/>
    <n v="618"/>
    <s v="Seating Cat. 2"/>
    <s v="N.A."/>
    <n v="-2267"/>
  </r>
  <r>
    <s v="Aida"/>
    <x v="4"/>
    <x v="4"/>
    <x v="0"/>
    <n v="169"/>
    <x v="2"/>
    <n v="470"/>
    <n v="287"/>
    <s v="Seating Cat. 3"/>
    <s v="N.A."/>
    <n v="-2267"/>
  </r>
  <r>
    <s v="Aida"/>
    <x v="5"/>
    <x v="5"/>
    <x v="0"/>
    <n v="65"/>
    <x v="0"/>
    <n v="3000"/>
    <n v="1770"/>
    <s v="Seating Cat. 1"/>
    <s v="N.A."/>
    <n v="-2242"/>
  </r>
  <r>
    <s v="Aida"/>
    <x v="5"/>
    <x v="5"/>
    <x v="0"/>
    <n v="88"/>
    <x v="1"/>
    <n v="1000"/>
    <n v="500"/>
    <s v="Seating Cat. 2"/>
    <s v="N.A."/>
    <n v="-2242"/>
  </r>
  <r>
    <s v="Aida"/>
    <x v="5"/>
    <x v="5"/>
    <x v="0"/>
    <n v="156"/>
    <x v="2"/>
    <n v="500"/>
    <n v="255"/>
    <s v="Seating Cat. 3"/>
    <s v="N.A."/>
    <n v="-2242"/>
  </r>
  <r>
    <s v="Aida"/>
    <x v="5"/>
    <x v="5"/>
    <x v="0"/>
    <n v="26"/>
    <x v="5"/>
    <n v="89"/>
    <n v="51"/>
    <s v="Seating-disabled"/>
    <s v="N.A."/>
    <n v="-2242"/>
  </r>
  <r>
    <s v="Aida"/>
    <x v="5"/>
    <x v="5"/>
    <x v="0"/>
    <n v="187"/>
    <x v="3"/>
    <n v="200"/>
    <n v="140"/>
    <s v="Ticket + Air travel Package"/>
    <s v="N.A."/>
    <n v="-2242"/>
  </r>
  <r>
    <s v="Aida"/>
    <x v="5"/>
    <x v="5"/>
    <x v="0"/>
    <n v="334"/>
    <x v="4"/>
    <n v="300"/>
    <n v="222"/>
    <s v="Ticket + Air travel + Hotel Package"/>
    <s v="N.A."/>
    <n v="-2242"/>
  </r>
  <r>
    <s v="Beauty and the beast"/>
    <x v="0"/>
    <x v="6"/>
    <x v="1"/>
    <n v="58"/>
    <x v="0"/>
    <n v="760"/>
    <n v="403"/>
    <s v="Seating Cat. 1"/>
    <s v="N.A."/>
    <n v="-2287"/>
  </r>
  <r>
    <s v="Beauty and the beast"/>
    <x v="0"/>
    <x v="7"/>
    <x v="1"/>
    <n v="80"/>
    <x v="1"/>
    <n v="350"/>
    <n v="217"/>
    <s v="Seating Cat. 2"/>
    <s v="N.A."/>
    <n v="-2282"/>
  </r>
  <r>
    <s v="Beauty and the beast"/>
    <x v="0"/>
    <x v="8"/>
    <x v="1"/>
    <n v="24"/>
    <x v="6"/>
    <n v="100"/>
    <n v="87"/>
    <s v="Parking place"/>
    <s v="N.A."/>
    <n v="-2280"/>
  </r>
  <r>
    <s v="Beauty and the beast"/>
    <x v="6"/>
    <x v="9"/>
    <x v="1"/>
    <n v="52"/>
    <x v="0"/>
    <n v="694"/>
    <n v="424"/>
    <s v="Seating Cat. 1"/>
    <s v="N.A."/>
    <n v="-2259"/>
  </r>
  <r>
    <s v="Beauty and the beast"/>
    <x v="6"/>
    <x v="9"/>
    <x v="1"/>
    <n v="116"/>
    <x v="1"/>
    <n v="480"/>
    <n v="245"/>
    <s v="Seating Cat. 2"/>
    <s v="N.A."/>
    <n v="-2259"/>
  </r>
  <r>
    <s v="Beauty and the beast"/>
    <x v="7"/>
    <x v="10"/>
    <x v="1"/>
    <n v="65"/>
    <x v="0"/>
    <n v="1260"/>
    <n v="1147"/>
    <s v="Seating Cat. 1"/>
    <s v="N.A."/>
    <n v="-2255"/>
  </r>
  <r>
    <s v="Beauty and the beast"/>
    <x v="7"/>
    <x v="10"/>
    <x v="1"/>
    <n v="95"/>
    <x v="1"/>
    <n v="490"/>
    <n v="348"/>
    <s v="Seating Cat. 2"/>
    <s v="N.A."/>
    <n v="-2255"/>
  </r>
  <r>
    <s v="Beauty and the beast"/>
    <x v="7"/>
    <x v="10"/>
    <x v="1"/>
    <n v="298"/>
    <x v="3"/>
    <n v="300"/>
    <n v="225"/>
    <s v="Ticket + Air travel Package"/>
    <s v="N.A."/>
    <n v="-2255"/>
  </r>
  <r>
    <s v="Beauty and the beast"/>
    <x v="7"/>
    <x v="10"/>
    <x v="1"/>
    <n v="337"/>
    <x v="4"/>
    <n v="300"/>
    <n v="240"/>
    <s v="Ticket + Air travel + Hotel Package"/>
    <s v="N.A."/>
    <n v="-2255"/>
  </r>
  <r>
    <s v="Beauty and the beast"/>
    <x v="1"/>
    <x v="11"/>
    <x v="1"/>
    <n v="73"/>
    <x v="0"/>
    <n v="1006"/>
    <n v="644"/>
    <s v="Seating Cat. 1"/>
    <s v="N.A."/>
    <n v="-2251"/>
  </r>
  <r>
    <s v="Beauty and the beast"/>
    <x v="1"/>
    <x v="11"/>
    <x v="1"/>
    <n v="80"/>
    <x v="1"/>
    <n v="346"/>
    <n v="326"/>
    <s v="Seating Cat. 2"/>
    <s v="N.A."/>
    <n v="-2251"/>
  </r>
  <r>
    <s v="Beauty and the beast"/>
    <x v="1"/>
    <x v="11"/>
    <x v="1"/>
    <n v="32"/>
    <x v="6"/>
    <n v="100"/>
    <n v="72"/>
    <s v="Parking place"/>
    <s v="N.A."/>
    <n v="-2251"/>
  </r>
  <r>
    <s v="Beauty and the beast"/>
    <x v="1"/>
    <x v="11"/>
    <x v="1"/>
    <n v="194"/>
    <x v="3"/>
    <n v="200"/>
    <n v="136"/>
    <s v="Ticket + Air travel Package"/>
    <s v="N.A."/>
    <n v="-2251"/>
  </r>
  <r>
    <s v="Beauty and the beast"/>
    <x v="1"/>
    <x v="11"/>
    <x v="1"/>
    <n v="315"/>
    <x v="4"/>
    <n v="300"/>
    <n v="204"/>
    <s v="Ticket + Air travel + Hotel Package"/>
    <s v="N.A."/>
    <n v="-2251"/>
  </r>
  <r>
    <s v="Beauty and the beast"/>
    <x v="8"/>
    <x v="12"/>
    <x v="1"/>
    <n v="53"/>
    <x v="0"/>
    <n v="856"/>
    <n v="583"/>
    <s v="Seating Cat. 1"/>
    <s v="N.A."/>
    <n v="-2247"/>
  </r>
  <r>
    <s v="Beauty and the beast"/>
    <x v="8"/>
    <x v="12"/>
    <x v="1"/>
    <n v="111"/>
    <x v="1"/>
    <n v="482"/>
    <n v="261"/>
    <s v="Seating Cat. 2"/>
    <s v="N.A."/>
    <n v="-2247"/>
  </r>
  <r>
    <s v="Beauty and the beast"/>
    <x v="8"/>
    <x v="12"/>
    <x v="1"/>
    <n v="221"/>
    <x v="3"/>
    <n v="300"/>
    <n v="246"/>
    <s v="Ticket + Air travel Package"/>
    <s v="N.A."/>
    <n v="-2247"/>
  </r>
  <r>
    <s v="Beauty and the beast"/>
    <x v="8"/>
    <x v="12"/>
    <x v="1"/>
    <n v="327"/>
    <x v="4"/>
    <n v="300"/>
    <n v="150"/>
    <s v="Ticket + Air travel + Hotel Package"/>
    <s v="N.A."/>
    <n v="-2247"/>
  </r>
  <r>
    <s v="Beauty and the beast"/>
    <x v="3"/>
    <x v="13"/>
    <x v="1"/>
    <n v="52"/>
    <x v="0"/>
    <n v="780"/>
    <n v="445"/>
    <s v="Seating Cat. 1"/>
    <s v="N.A."/>
    <n v="-2246"/>
  </r>
  <r>
    <s v="Beauty and the beast"/>
    <x v="3"/>
    <x v="13"/>
    <x v="1"/>
    <n v="102"/>
    <x v="1"/>
    <n v="423"/>
    <n v="318"/>
    <s v="Seating Cat. 2"/>
    <s v="N.A."/>
    <n v="-2246"/>
  </r>
  <r>
    <s v="Beauty and the beast"/>
    <x v="3"/>
    <x v="13"/>
    <x v="1"/>
    <n v="18"/>
    <x v="6"/>
    <n v="70"/>
    <n v="40"/>
    <s v="Parking place"/>
    <s v="N.A."/>
    <n v="-2246"/>
  </r>
  <r>
    <s v="Beauty and the beast"/>
    <x v="3"/>
    <x v="13"/>
    <x v="1"/>
    <n v="285"/>
    <x v="3"/>
    <n v="400"/>
    <n v="356"/>
    <s v="Ticket + Air travel Package"/>
    <s v="N.A."/>
    <n v="-2246"/>
  </r>
  <r>
    <s v="Beauty and the beast"/>
    <x v="3"/>
    <x v="13"/>
    <x v="1"/>
    <n v="365"/>
    <x v="4"/>
    <n v="300"/>
    <n v="210"/>
    <s v="Ticket + Air travel + Hotel Package"/>
    <s v="N.A."/>
    <n v="-2246"/>
  </r>
  <r>
    <s v="Corrosion"/>
    <x v="6"/>
    <x v="14"/>
    <x v="2"/>
    <n v="45"/>
    <x v="7"/>
    <n v="7188"/>
    <n v="6254"/>
    <s v="General Admission (1 day)"/>
    <s v="N.A."/>
    <n v="-2257"/>
  </r>
  <r>
    <s v="Corrosion"/>
    <x v="6"/>
    <x v="14"/>
    <x v="2"/>
    <n v="37"/>
    <x v="0"/>
    <n v="1974"/>
    <n v="1343"/>
    <s v="Seating Cat. 1"/>
    <s v="N.A."/>
    <n v="-2257"/>
  </r>
  <r>
    <s v="Corrosion"/>
    <x v="6"/>
    <x v="14"/>
    <x v="2"/>
    <n v="194"/>
    <x v="3"/>
    <n v="200"/>
    <n v="112"/>
    <s v="Ticket + Air travel Package"/>
    <s v="N.A."/>
    <n v="-2257"/>
  </r>
  <r>
    <s v="Corrosion"/>
    <x v="6"/>
    <x v="14"/>
    <x v="2"/>
    <n v="348"/>
    <x v="4"/>
    <n v="300"/>
    <n v="258"/>
    <s v="Ticket + Air travel + Hotel Package"/>
    <s v="N.A."/>
    <n v="-2257"/>
  </r>
  <r>
    <s v="Corrosion + Electrika"/>
    <x v="8"/>
    <x v="15"/>
    <x v="2"/>
    <n v="71"/>
    <x v="7"/>
    <n v="13478"/>
    <n v="8222"/>
    <s v="General Admission (1 day)"/>
    <s v="N.A."/>
    <n v="-2263"/>
  </r>
  <r>
    <s v="Corrosion + Electrika"/>
    <x v="8"/>
    <x v="15"/>
    <x v="2"/>
    <n v="70"/>
    <x v="0"/>
    <n v="742"/>
    <n v="416"/>
    <s v="Seating Cat. 1"/>
    <s v="N.A."/>
    <n v="-2263"/>
  </r>
  <r>
    <s v="Corrosion + Electrika"/>
    <x v="8"/>
    <x v="15"/>
    <x v="2"/>
    <n v="241"/>
    <x v="3"/>
    <n v="300"/>
    <n v="279"/>
    <s v="Ticket + Air travel Package"/>
    <s v="N.A."/>
    <n v="-2263"/>
  </r>
  <r>
    <s v="Corrosion + Electrika"/>
    <x v="8"/>
    <x v="15"/>
    <x v="2"/>
    <n v="315"/>
    <x v="4"/>
    <n v="400"/>
    <n v="220"/>
    <s v="Ticket + Air travel + Hotel Package"/>
    <s v="N.A."/>
    <n v="-2263"/>
  </r>
  <r>
    <s v="Corrosion + Electrika"/>
    <x v="0"/>
    <x v="16"/>
    <x v="2"/>
    <n v="46"/>
    <x v="7"/>
    <n v="9617"/>
    <n v="7502"/>
    <s v="General Admission (1 day)"/>
    <s v="N.A."/>
    <n v="-2262"/>
  </r>
  <r>
    <s v="Corrosion + Electrika"/>
    <x v="0"/>
    <x v="16"/>
    <x v="2"/>
    <n v="72"/>
    <x v="0"/>
    <n v="683"/>
    <n v="485"/>
    <s v="Seating Cat. 1"/>
    <s v="N.A."/>
    <n v="-2262"/>
  </r>
  <r>
    <s v="Corrosion + Electrika"/>
    <x v="0"/>
    <x v="16"/>
    <x v="2"/>
    <n v="268"/>
    <x v="3"/>
    <n v="300"/>
    <n v="240"/>
    <s v="Ticket + Air travel Package"/>
    <s v="N.A."/>
    <n v="-2262"/>
  </r>
  <r>
    <s v="Corrosion + Electrika"/>
    <x v="0"/>
    <x v="16"/>
    <x v="2"/>
    <n v="310"/>
    <x v="4"/>
    <n v="200"/>
    <n v="170"/>
    <s v="Ticket + Air travel + Hotel Package"/>
    <s v="N.A."/>
    <n v="-2262"/>
  </r>
  <r>
    <s v="Die Walküre"/>
    <x v="9"/>
    <x v="17"/>
    <x v="0"/>
    <n v="45"/>
    <x v="0"/>
    <n v="2940"/>
    <n v="2558"/>
    <s v="Seating Cat. 1"/>
    <s v="N.A."/>
    <n v="-2304"/>
  </r>
  <r>
    <s v="Die Walküre"/>
    <x v="9"/>
    <x v="17"/>
    <x v="0"/>
    <n v="114"/>
    <x v="1"/>
    <n v="875"/>
    <n v="779"/>
    <s v="Seating Cat. 2"/>
    <s v="N.A."/>
    <n v="-2304"/>
  </r>
  <r>
    <s v="Die Walküre"/>
    <x v="9"/>
    <x v="17"/>
    <x v="0"/>
    <n v="224"/>
    <x v="3"/>
    <n v="400"/>
    <n v="232"/>
    <s v="Ticket + Air travel Package"/>
    <s v="N.A."/>
    <n v="-2304"/>
  </r>
  <r>
    <s v="Die Walküre"/>
    <x v="9"/>
    <x v="17"/>
    <x v="0"/>
    <n v="380"/>
    <x v="4"/>
    <n v="300"/>
    <n v="153"/>
    <s v="Ticket + Air travel + Hotel Package"/>
    <s v="N.A."/>
    <n v="-2304"/>
  </r>
  <r>
    <s v="Die Walküre"/>
    <x v="8"/>
    <x v="18"/>
    <x v="0"/>
    <n v="52"/>
    <x v="0"/>
    <n v="1860"/>
    <n v="1433"/>
    <s v="Seating Cat. 1"/>
    <s v="N.A."/>
    <n v="-2283"/>
  </r>
  <r>
    <s v="Die Walküre"/>
    <x v="8"/>
    <x v="18"/>
    <x v="0"/>
    <n v="74"/>
    <x v="1"/>
    <n v="1200"/>
    <n v="936"/>
    <s v="Seating Cat. 2"/>
    <s v="N.A."/>
    <n v="-2283"/>
  </r>
  <r>
    <s v="Die Walküre"/>
    <x v="8"/>
    <x v="18"/>
    <x v="0"/>
    <n v="189"/>
    <x v="3"/>
    <n v="300"/>
    <n v="249"/>
    <s v="Ticket + Air travel Package"/>
    <s v="N.A."/>
    <n v="-2283"/>
  </r>
  <r>
    <s v="Die Walküre"/>
    <x v="8"/>
    <x v="18"/>
    <x v="0"/>
    <n v="398"/>
    <x v="4"/>
    <n v="400"/>
    <n v="200"/>
    <s v="Ticket + Air travel + Hotel Package"/>
    <s v="N.A."/>
    <n v="-2283"/>
  </r>
  <r>
    <s v="Die Walküre"/>
    <x v="7"/>
    <x v="19"/>
    <x v="0"/>
    <n v="54"/>
    <x v="0"/>
    <n v="3450"/>
    <n v="2864"/>
    <s v="Seating Cat. 1"/>
    <s v="N.A."/>
    <n v="-2267"/>
  </r>
  <r>
    <s v="Die Walküre"/>
    <x v="7"/>
    <x v="19"/>
    <x v="0"/>
    <n v="74"/>
    <x v="1"/>
    <n v="798"/>
    <n v="687"/>
    <s v="Seating Cat. 2"/>
    <s v="N.A."/>
    <n v="-2267"/>
  </r>
  <r>
    <s v="Die Walküre"/>
    <x v="7"/>
    <x v="19"/>
    <x v="0"/>
    <n v="143"/>
    <x v="2"/>
    <n v="500"/>
    <n v="330"/>
    <s v="Seating Cat. 3"/>
    <s v="N.A."/>
    <n v="-2267"/>
  </r>
  <r>
    <s v="Die Walküre"/>
    <x v="7"/>
    <x v="19"/>
    <x v="0"/>
    <n v="29"/>
    <x v="5"/>
    <n v="120"/>
    <n v="76"/>
    <s v="Seating-disabled"/>
    <s v="N.A."/>
    <n v="-2267"/>
  </r>
  <r>
    <s v="Die Walküre"/>
    <x v="7"/>
    <x v="19"/>
    <x v="0"/>
    <n v="244"/>
    <x v="3"/>
    <n v="200"/>
    <n v="160"/>
    <s v="Ticket + Air travel Package"/>
    <s v="N.A."/>
    <n v="-2267"/>
  </r>
  <r>
    <s v="Die Walküre"/>
    <x v="7"/>
    <x v="19"/>
    <x v="0"/>
    <n v="349"/>
    <x v="4"/>
    <n v="300"/>
    <n v="204"/>
    <s v="Ticket + Air travel + Hotel Package"/>
    <s v="N.A."/>
    <n v="-2267"/>
  </r>
  <r>
    <s v="Die Walküre"/>
    <x v="10"/>
    <x v="20"/>
    <x v="0"/>
    <n v="31"/>
    <x v="0"/>
    <n v="1500"/>
    <n v="1065"/>
    <s v="Seating Cat. 1"/>
    <s v="N.A."/>
    <n v="-2267"/>
  </r>
  <r>
    <s v="Die Walküre"/>
    <x v="10"/>
    <x v="20"/>
    <x v="0"/>
    <n v="102"/>
    <x v="1"/>
    <n v="600"/>
    <n v="462"/>
    <s v="Seating Cat. 2"/>
    <s v="N.A."/>
    <n v="-2267"/>
  </r>
  <r>
    <s v="Die Walküre"/>
    <x v="10"/>
    <x v="20"/>
    <x v="0"/>
    <n v="143"/>
    <x v="2"/>
    <n v="200"/>
    <n v="140"/>
    <s v="Seating Cat. 3"/>
    <s v="N.A."/>
    <n v="-2267"/>
  </r>
  <r>
    <s v="Electrika"/>
    <x v="7"/>
    <x v="9"/>
    <x v="2"/>
    <n v="61"/>
    <x v="7"/>
    <n v="9935"/>
    <n v="6657"/>
    <s v="General Admission (1 day)"/>
    <s v="N.A."/>
    <n v="-2259"/>
  </r>
  <r>
    <s v="Electrika"/>
    <x v="7"/>
    <x v="9"/>
    <x v="2"/>
    <n v="52"/>
    <x v="0"/>
    <n v="648"/>
    <n v="370"/>
    <s v="Seating Cat. 1"/>
    <s v="N.A."/>
    <n v="-2259"/>
  </r>
  <r>
    <s v="Electrika"/>
    <x v="7"/>
    <x v="9"/>
    <x v="2"/>
    <n v="299"/>
    <x v="3"/>
    <n v="200"/>
    <n v="148"/>
    <s v="Ticket + Air travel Package"/>
    <s v="N.A."/>
    <n v="-2259"/>
  </r>
  <r>
    <s v="Electrika"/>
    <x v="7"/>
    <x v="9"/>
    <x v="2"/>
    <n v="336"/>
    <x v="4"/>
    <n v="300"/>
    <n v="261"/>
    <s v="Ticket + Air travel + Hotel Package"/>
    <s v="N.A."/>
    <n v="-2259"/>
  </r>
  <r>
    <s v="Electrika"/>
    <x v="5"/>
    <x v="14"/>
    <x v="2"/>
    <n v="73"/>
    <x v="7"/>
    <n v="8634"/>
    <n v="4404"/>
    <s v="General Admission (1 day)"/>
    <s v="N.A."/>
    <n v="-2257"/>
  </r>
  <r>
    <s v="Electrika"/>
    <x v="5"/>
    <x v="14"/>
    <x v="2"/>
    <n v="70"/>
    <x v="0"/>
    <n v="1240"/>
    <n v="695"/>
    <s v="Seating Cat. 1"/>
    <s v="N.A."/>
    <n v="-2257"/>
  </r>
  <r>
    <s v="Electrika"/>
    <x v="5"/>
    <x v="14"/>
    <x v="2"/>
    <n v="269"/>
    <x v="3"/>
    <n v="400"/>
    <n v="260"/>
    <s v="Ticket + Air travel Package"/>
    <s v="N.A."/>
    <n v="-2257"/>
  </r>
  <r>
    <s v="Electrika"/>
    <x v="5"/>
    <x v="14"/>
    <x v="2"/>
    <n v="304"/>
    <x v="4"/>
    <n v="200"/>
    <n v="116"/>
    <s v="Ticket + Air travel + Hotel Package"/>
    <s v="N.A."/>
    <n v="-2257"/>
  </r>
  <r>
    <s v="Europe Rocks"/>
    <x v="2"/>
    <x v="21"/>
    <x v="3"/>
    <n v="54"/>
    <x v="7"/>
    <n v="50000"/>
    <n v="34000"/>
    <s v="General Admission (1 day)"/>
    <s v="N.A."/>
    <n v="-2277"/>
  </r>
  <r>
    <s v="Europe Rocks"/>
    <x v="2"/>
    <x v="21"/>
    <x v="3"/>
    <n v="99"/>
    <x v="8"/>
    <n v="50000"/>
    <n v="34500"/>
    <s v="General Admission (2 days)"/>
    <s v="N.A."/>
    <n v="-2277"/>
  </r>
  <r>
    <s v="Europe Rocks"/>
    <x v="2"/>
    <x v="21"/>
    <x v="3"/>
    <n v="35"/>
    <x v="5"/>
    <n v="54"/>
    <n v="35"/>
    <s v="Seating-disabled"/>
    <s v="N.A."/>
    <n v="-2277"/>
  </r>
  <r>
    <s v="Europe Rocks"/>
    <x v="2"/>
    <x v="22"/>
    <x v="3"/>
    <n v="42"/>
    <x v="7"/>
    <n v="50000"/>
    <n v="42500"/>
    <s v="General Admission (1 day)"/>
    <s v="N.A."/>
    <n v="-2277"/>
  </r>
  <r>
    <s v="Europe Rocks"/>
    <x v="2"/>
    <x v="22"/>
    <x v="3"/>
    <n v="226"/>
    <x v="3"/>
    <n v="300"/>
    <n v="207"/>
    <s v="Ticket + Air travel Package"/>
    <s v="N.A."/>
    <n v="-2277"/>
  </r>
  <r>
    <s v="Europe Rocks"/>
    <x v="2"/>
    <x v="22"/>
    <x v="3"/>
    <n v="29"/>
    <x v="5"/>
    <n v="111"/>
    <n v="88"/>
    <s v="Seating-disabled"/>
    <s v="N.A."/>
    <n v="-2277"/>
  </r>
  <r>
    <s v="Europe Rocks"/>
    <x v="2"/>
    <x v="22"/>
    <x v="3"/>
    <n v="379"/>
    <x v="4"/>
    <n v="300"/>
    <n v="261"/>
    <s v="Ticket + Air travel + Hotel Package"/>
    <s v="N.A."/>
    <n v="-2277"/>
  </r>
  <r>
    <s v="Europe Rocks"/>
    <x v="5"/>
    <x v="23"/>
    <x v="3"/>
    <n v="78"/>
    <x v="7"/>
    <n v="50000"/>
    <n v="43500"/>
    <s v="General Admission (1 day)"/>
    <s v="N.A."/>
    <n v="-2269"/>
  </r>
  <r>
    <s v="Europe Rocks"/>
    <x v="5"/>
    <x v="23"/>
    <x v="3"/>
    <n v="94"/>
    <x v="8"/>
    <n v="50000"/>
    <n v="27500"/>
    <s v="General Admission (2 days)"/>
    <s v="N.A."/>
    <n v="-2269"/>
  </r>
  <r>
    <s v="Europe Rocks"/>
    <x v="5"/>
    <x v="23"/>
    <x v="3"/>
    <n v="31"/>
    <x v="5"/>
    <n v="83"/>
    <n v="66"/>
    <s v="Seating-disabled"/>
    <s v="N.A."/>
    <n v="-2269"/>
  </r>
  <r>
    <s v="Europe Rocks"/>
    <x v="5"/>
    <x v="24"/>
    <x v="3"/>
    <n v="50"/>
    <x v="7"/>
    <n v="50000"/>
    <n v="25500"/>
    <s v="General Admission (1 day)"/>
    <n v="0.1"/>
    <n v="-2268"/>
  </r>
  <r>
    <s v="Europe Rocks"/>
    <x v="5"/>
    <x v="24"/>
    <x v="3"/>
    <n v="220"/>
    <x v="3"/>
    <n v="400"/>
    <n v="344"/>
    <s v="Ticket + Air travel Package"/>
    <s v="N.A."/>
    <n v="-2268"/>
  </r>
  <r>
    <s v="Europe Rocks"/>
    <x v="5"/>
    <x v="24"/>
    <x v="3"/>
    <n v="29"/>
    <x v="5"/>
    <n v="64"/>
    <n v="40"/>
    <s v="Seating-disabled"/>
    <s v="N.A."/>
    <n v="-2268"/>
  </r>
  <r>
    <s v="Europe Rocks"/>
    <x v="5"/>
    <x v="24"/>
    <x v="3"/>
    <n v="320"/>
    <x v="4"/>
    <n v="200"/>
    <n v="128"/>
    <s v="Ticket + Air travel + Hotel Package"/>
    <s v="N.A."/>
    <n v="-2268"/>
  </r>
  <r>
    <s v="Europe Rocks"/>
    <x v="6"/>
    <x v="20"/>
    <x v="3"/>
    <n v="50"/>
    <x v="7"/>
    <n v="50000"/>
    <n v="38500"/>
    <s v="General Admission (1 day)"/>
    <n v="0.1"/>
    <n v="-2267"/>
  </r>
  <r>
    <s v="Europe Rocks"/>
    <x v="6"/>
    <x v="20"/>
    <x v="3"/>
    <n v="94"/>
    <x v="8"/>
    <n v="50000"/>
    <n v="29000"/>
    <s v="General Admission (2 days)"/>
    <s v="N.A."/>
    <n v="-2267"/>
  </r>
  <r>
    <s v="Europe Rocks"/>
    <x v="6"/>
    <x v="20"/>
    <x v="3"/>
    <n v="29"/>
    <x v="5"/>
    <n v="112"/>
    <n v="104"/>
    <s v="Seating-disabled"/>
    <s v="N.A."/>
    <n v="-2267"/>
  </r>
  <r>
    <s v="Europe Rocks"/>
    <x v="6"/>
    <x v="25"/>
    <x v="3"/>
    <n v="50"/>
    <x v="7"/>
    <n v="50000"/>
    <n v="28000"/>
    <s v="General Admission (1 day)"/>
    <n v="0.1"/>
    <n v="-2266"/>
  </r>
  <r>
    <s v="Europe Rocks"/>
    <x v="6"/>
    <x v="25"/>
    <x v="3"/>
    <n v="192"/>
    <x v="3"/>
    <n v="300"/>
    <n v="210"/>
    <s v="Ticket + Air travel Package"/>
    <s v="N.A."/>
    <n v="-2266"/>
  </r>
  <r>
    <s v="Europe Rocks"/>
    <x v="6"/>
    <x v="25"/>
    <x v="3"/>
    <n v="23"/>
    <x v="5"/>
    <n v="59"/>
    <n v="56"/>
    <s v="Seating-disabled"/>
    <s v="N.A."/>
    <n v="-2266"/>
  </r>
  <r>
    <s v="Europe Rocks"/>
    <x v="6"/>
    <x v="25"/>
    <x v="3"/>
    <n v="351"/>
    <x v="4"/>
    <n v="300"/>
    <n v="240"/>
    <s v="Ticket + Air travel + Hotel Package"/>
    <s v="N.A."/>
    <n v="-2266"/>
  </r>
  <r>
    <s v="Filarmonica di Milano"/>
    <x v="9"/>
    <x v="26"/>
    <x v="4"/>
    <n v="68"/>
    <x v="0"/>
    <n v="940"/>
    <n v="480"/>
    <s v="Seating Cat. 1"/>
    <s v="N.A."/>
    <n v="-2256"/>
  </r>
  <r>
    <s v="Filarmonica di Milano"/>
    <x v="7"/>
    <x v="27"/>
    <x v="4"/>
    <n v="72"/>
    <x v="0"/>
    <n v="654"/>
    <n v="517"/>
    <s v="Seating Cat. 1"/>
    <s v="N.A."/>
    <n v="-2252"/>
  </r>
  <r>
    <s v="Filarmonica di Milano"/>
    <x v="7"/>
    <x v="27"/>
    <x v="4"/>
    <n v="73"/>
    <x v="1"/>
    <n v="400"/>
    <n v="280"/>
    <s v="Seating Cat. 2"/>
    <s v="N.A."/>
    <n v="-2252"/>
  </r>
  <r>
    <s v="Filarmonica di Milano"/>
    <x v="7"/>
    <x v="27"/>
    <x v="4"/>
    <n v="152"/>
    <x v="2"/>
    <n v="213"/>
    <n v="199"/>
    <s v="Seating Cat. 3"/>
    <s v="N.A."/>
    <n v="-2252"/>
  </r>
  <r>
    <s v="Filarmonica di Milano"/>
    <x v="7"/>
    <x v="27"/>
    <x v="4"/>
    <n v="293"/>
    <x v="3"/>
    <n v="300"/>
    <n v="168"/>
    <s v="Ticket + Air travel Package"/>
    <s v="N.A."/>
    <n v="-2252"/>
  </r>
  <r>
    <s v="Filarmonica di Milano"/>
    <x v="7"/>
    <x v="27"/>
    <x v="4"/>
    <n v="30"/>
    <x v="5"/>
    <n v="57"/>
    <n v="50"/>
    <s v="Seating-disabled"/>
    <s v="N.A."/>
    <n v="-2252"/>
  </r>
  <r>
    <s v="Filarmonica di Milano"/>
    <x v="7"/>
    <x v="27"/>
    <x v="4"/>
    <n v="357"/>
    <x v="4"/>
    <n v="300"/>
    <n v="192"/>
    <s v="Ticket + Air travel + Hotel Package"/>
    <s v="N.A."/>
    <n v="-2252"/>
  </r>
  <r>
    <s v="Filarmonica di Mosca"/>
    <x v="7"/>
    <x v="28"/>
    <x v="4"/>
    <n v="37"/>
    <x v="0"/>
    <n v="712"/>
    <n v="641"/>
    <s v="Seating Cat. 1"/>
    <s v="N.A."/>
    <n v="-2297"/>
  </r>
  <r>
    <s v="Filarmonica di Mosca"/>
    <x v="7"/>
    <x v="28"/>
    <x v="4"/>
    <n v="106"/>
    <x v="1"/>
    <n v="463"/>
    <n v="380"/>
    <s v="Seating Cat. 2"/>
    <s v="N.A."/>
    <n v="-2297"/>
  </r>
  <r>
    <s v="Filarmonica di Mosca"/>
    <x v="7"/>
    <x v="28"/>
    <x v="4"/>
    <n v="116"/>
    <x v="2"/>
    <n v="218"/>
    <n v="120"/>
    <s v="Seating Cat. 3"/>
    <s v="N.A."/>
    <n v="-2297"/>
  </r>
  <r>
    <s v="Filarmonica di Mosca"/>
    <x v="7"/>
    <x v="28"/>
    <x v="4"/>
    <n v="240"/>
    <x v="3"/>
    <n v="300"/>
    <n v="264"/>
    <s v="Ticket + Air travel Package"/>
    <s v="N.A."/>
    <n v="-2297"/>
  </r>
  <r>
    <s v="Filarmonica di Mosca"/>
    <x v="7"/>
    <x v="28"/>
    <x v="4"/>
    <n v="305"/>
    <x v="4"/>
    <n v="200"/>
    <n v="164"/>
    <s v="Ticket + Air travel + Hotel Package"/>
    <s v="N.A."/>
    <n v="-2297"/>
  </r>
  <r>
    <s v="Filarmonica di Mosca"/>
    <x v="0"/>
    <x v="29"/>
    <x v="4"/>
    <n v="70"/>
    <x v="0"/>
    <n v="480"/>
    <n v="322"/>
    <s v="Seating Cat. 1"/>
    <s v="N.A."/>
    <n v="-2272"/>
  </r>
  <r>
    <s v="Flashdance"/>
    <x v="0"/>
    <x v="30"/>
    <x v="1"/>
    <n v="114"/>
    <x v="1"/>
    <n v="350"/>
    <n v="305"/>
    <s v="Seating Cat. 2"/>
    <s v="N.A."/>
    <n v="-2302"/>
  </r>
  <r>
    <s v="Flashdance"/>
    <x v="11"/>
    <x v="31"/>
    <x v="1"/>
    <n v="37"/>
    <x v="0"/>
    <n v="540"/>
    <n v="432"/>
    <s v="Seating Cat. 1"/>
    <s v="N.A."/>
    <n v="-2272"/>
  </r>
  <r>
    <s v="Flashdance"/>
    <x v="11"/>
    <x v="31"/>
    <x v="1"/>
    <n v="86"/>
    <x v="1"/>
    <n v="320"/>
    <n v="212"/>
    <s v="Seating Cat. 2"/>
    <s v="N.A."/>
    <n v="-2272"/>
  </r>
  <r>
    <s v="Flashdance"/>
    <x v="11"/>
    <x v="31"/>
    <x v="1"/>
    <n v="222"/>
    <x v="3"/>
    <n v="300"/>
    <n v="156"/>
    <s v="Ticket + Air travel Package"/>
    <s v="N.A."/>
    <n v="-2272"/>
  </r>
  <r>
    <s v="Flashdance"/>
    <x v="11"/>
    <x v="31"/>
    <x v="1"/>
    <n v="315"/>
    <x v="4"/>
    <n v="300"/>
    <n v="195"/>
    <s v="Ticket + Air travel + Hotel Package"/>
    <s v="N.A."/>
    <n v="-2272"/>
  </r>
  <r>
    <s v="Flashdance"/>
    <x v="11"/>
    <x v="29"/>
    <x v="1"/>
    <n v="78"/>
    <x v="0"/>
    <n v="1250"/>
    <n v="850"/>
    <s v="Seating Cat. 1"/>
    <s v="N.A."/>
    <n v="-2272"/>
  </r>
  <r>
    <s v="Flashdance"/>
    <x v="11"/>
    <x v="29"/>
    <x v="1"/>
    <n v="87"/>
    <x v="1"/>
    <n v="420"/>
    <n v="353"/>
    <s v="Seating Cat. 2"/>
    <s v="N.A."/>
    <n v="-2272"/>
  </r>
  <r>
    <s v="Flashdance"/>
    <x v="8"/>
    <x v="25"/>
    <x v="1"/>
    <n v="45"/>
    <x v="0"/>
    <n v="750"/>
    <n v="615"/>
    <s v="Seating Cat. 1"/>
    <s v="N.A."/>
    <n v="-2266"/>
  </r>
  <r>
    <s v="Flashdance"/>
    <x v="8"/>
    <x v="25"/>
    <x v="1"/>
    <n v="106"/>
    <x v="1"/>
    <n v="240"/>
    <n v="212"/>
    <s v="Seating Cat. 2"/>
    <s v="N.A."/>
    <n v="-2266"/>
  </r>
  <r>
    <s v="Flashdance"/>
    <x v="3"/>
    <x v="32"/>
    <x v="1"/>
    <n v="39"/>
    <x v="0"/>
    <n v="810"/>
    <n v="738"/>
    <s v="Seating Cat. 1"/>
    <s v="N.A."/>
    <n v="-2245"/>
  </r>
  <r>
    <s v="Flashdance"/>
    <x v="3"/>
    <x v="32"/>
    <x v="1"/>
    <n v="74"/>
    <x v="1"/>
    <n v="250"/>
    <n v="163"/>
    <s v="Seating Cat. 2"/>
    <s v="N.A."/>
    <n v="-2245"/>
  </r>
  <r>
    <s v="Il lago dei cigni"/>
    <x v="12"/>
    <x v="2"/>
    <x v="5"/>
    <n v="74"/>
    <x v="0"/>
    <n v="1000"/>
    <n v="560"/>
    <s v="Seating Cat. 1"/>
    <s v="N.A."/>
    <n v="-2288"/>
  </r>
  <r>
    <s v="Il lago dei cigni"/>
    <x v="12"/>
    <x v="2"/>
    <x v="5"/>
    <n v="77"/>
    <x v="1"/>
    <n v="500"/>
    <n v="255"/>
    <s v="Seating Cat. 2"/>
    <s v="N.A."/>
    <n v="-2288"/>
  </r>
  <r>
    <s v="Il lago dei cigni"/>
    <x v="12"/>
    <x v="2"/>
    <x v="5"/>
    <n v="136"/>
    <x v="2"/>
    <n v="500"/>
    <n v="400"/>
    <s v="Seating Cat. 3"/>
    <s v="N.A."/>
    <n v="-2288"/>
  </r>
  <r>
    <s v="Il lago dei cigni"/>
    <x v="12"/>
    <x v="2"/>
    <x v="5"/>
    <n v="195"/>
    <x v="3"/>
    <n v="300"/>
    <n v="261"/>
    <s v="Ticket + Air travel Package"/>
    <s v="N.A."/>
    <n v="-2288"/>
  </r>
  <r>
    <s v="Il lago dei cigni"/>
    <x v="12"/>
    <x v="33"/>
    <x v="5"/>
    <n v="35"/>
    <x v="5"/>
    <n v="92"/>
    <n v="56"/>
    <s v="Seating-disabled"/>
    <s v="N.A."/>
    <n v="-2287"/>
  </r>
  <r>
    <s v="Il lago dei cigni"/>
    <x v="12"/>
    <x v="33"/>
    <x v="5"/>
    <n v="184"/>
    <x v="0"/>
    <n v="300"/>
    <n v="225"/>
    <s v="Seating Cat. 1"/>
    <s v="N.A."/>
    <n v="-2287"/>
  </r>
  <r>
    <s v="Il lago dei cigni"/>
    <x v="12"/>
    <x v="33"/>
    <x v="5"/>
    <n v="330"/>
    <x v="1"/>
    <n v="300"/>
    <n v="204"/>
    <s v="Seating Cat. 2"/>
    <s v="N.A."/>
    <n v="-2287"/>
  </r>
  <r>
    <s v="Il lago dei cigni"/>
    <x v="12"/>
    <x v="33"/>
    <x v="5"/>
    <n v="353"/>
    <x v="4"/>
    <n v="200"/>
    <n v="164"/>
    <s v="Ticket + Air travel + Hotel Package"/>
    <s v="N.A."/>
    <n v="-2287"/>
  </r>
  <r>
    <s v="Il lago dei cigni"/>
    <x v="5"/>
    <x v="7"/>
    <x v="5"/>
    <n v="74"/>
    <x v="0"/>
    <n v="750"/>
    <n v="570"/>
    <s v="Seating Cat. 1"/>
    <s v="N.A."/>
    <n v="-2282"/>
  </r>
  <r>
    <s v="Il lago dei cigni"/>
    <x v="5"/>
    <x v="7"/>
    <x v="5"/>
    <n v="83"/>
    <x v="1"/>
    <n v="420"/>
    <n v="353"/>
    <s v="Seating Cat. 2"/>
    <s v="N.A."/>
    <n v="-2282"/>
  </r>
  <r>
    <s v="Il lago dei cigni"/>
    <x v="5"/>
    <x v="7"/>
    <x v="5"/>
    <n v="102"/>
    <x v="2"/>
    <n v="210"/>
    <n v="160"/>
    <s v="Seating Cat. 3"/>
    <s v="N.A."/>
    <n v="-2282"/>
  </r>
  <r>
    <s v="Il lago dei cigni"/>
    <x v="5"/>
    <x v="7"/>
    <x v="5"/>
    <n v="287"/>
    <x v="3"/>
    <n v="300"/>
    <n v="246"/>
    <s v="Ticket + Air travel Package"/>
    <s v="N.A."/>
    <n v="-2282"/>
  </r>
  <r>
    <s v="Il lago dei cigni"/>
    <x v="5"/>
    <x v="7"/>
    <x v="5"/>
    <n v="23"/>
    <x v="5"/>
    <n v="51"/>
    <n v="35"/>
    <s v="Seating-disabled"/>
    <s v="N.A."/>
    <n v="-2282"/>
  </r>
  <r>
    <s v="Il lago dei cigni"/>
    <x v="5"/>
    <x v="7"/>
    <x v="5"/>
    <n v="301"/>
    <x v="4"/>
    <n v="300"/>
    <n v="186"/>
    <s v="Ticket + Air travel + Hotel Package"/>
    <s v="N.A."/>
    <n v="-2282"/>
  </r>
  <r>
    <s v="Il lago dei cigni"/>
    <x v="6"/>
    <x v="34"/>
    <x v="5"/>
    <n v="63"/>
    <x v="0"/>
    <n v="642"/>
    <n v="559"/>
    <s v="Seating Cat. 1"/>
    <s v="N.A."/>
    <n v="-2258"/>
  </r>
  <r>
    <s v="Il lago dei cigni"/>
    <x v="6"/>
    <x v="34"/>
    <x v="5"/>
    <n v="83"/>
    <x v="1"/>
    <n v="314"/>
    <n v="299"/>
    <s v="Seating Cat. 2"/>
    <s v="N.A."/>
    <n v="-2258"/>
  </r>
  <r>
    <s v="Il lago dei cigni"/>
    <x v="6"/>
    <x v="34"/>
    <x v="5"/>
    <n v="27"/>
    <x v="5"/>
    <n v="58"/>
    <n v="38"/>
    <s v="Seating-disabled"/>
    <s v="N.A."/>
    <n v="-2258"/>
  </r>
  <r>
    <s v="Il lago dei cigni"/>
    <x v="6"/>
    <x v="34"/>
    <x v="5"/>
    <n v="182"/>
    <x v="3"/>
    <n v="300"/>
    <n v="282"/>
    <s v="Ticket + Air travel Package"/>
    <s v="N.A."/>
    <n v="-2258"/>
  </r>
  <r>
    <s v="Il lago dei cigni"/>
    <x v="6"/>
    <x v="34"/>
    <x v="5"/>
    <n v="325"/>
    <x v="4"/>
    <n v="400"/>
    <n v="228"/>
    <s v="Ticket + Air travel + Hotel Package"/>
    <s v="N.A."/>
    <n v="-2258"/>
  </r>
  <r>
    <s v="Joe Alledi"/>
    <x v="9"/>
    <x v="33"/>
    <x v="2"/>
    <n v="68"/>
    <x v="7"/>
    <n v="15000"/>
    <n v="12150"/>
    <s v="General Admission (1 day)"/>
    <s v="N.A."/>
    <n v="-2287"/>
  </r>
  <r>
    <s v="Joe Alledi"/>
    <x v="9"/>
    <x v="33"/>
    <x v="2"/>
    <n v="34"/>
    <x v="0"/>
    <n v="1520"/>
    <n v="1001"/>
    <s v="Seating Cat. 1"/>
    <s v="N.A."/>
    <n v="-2287"/>
  </r>
  <r>
    <s v="Joe Alledi"/>
    <x v="9"/>
    <x v="33"/>
    <x v="2"/>
    <n v="297"/>
    <x v="3"/>
    <n v="400"/>
    <n v="312"/>
    <s v="Ticket + Air travel Package"/>
    <s v="N.A."/>
    <n v="-2287"/>
  </r>
  <r>
    <s v="Joe Alledi"/>
    <x v="9"/>
    <x v="33"/>
    <x v="2"/>
    <n v="382"/>
    <x v="4"/>
    <n v="200"/>
    <n v="100"/>
    <s v="Ticket + Air travel + Hotel Package"/>
    <s v="N.A."/>
    <n v="-2287"/>
  </r>
  <r>
    <s v="Joe Alledi"/>
    <x v="2"/>
    <x v="22"/>
    <x v="2"/>
    <n v="61"/>
    <x v="7"/>
    <n v="12500"/>
    <n v="11250"/>
    <s v="General Admission (1 day)"/>
    <s v="N.A."/>
    <n v="-2277"/>
  </r>
  <r>
    <s v="Joe Alledi"/>
    <x v="6"/>
    <x v="10"/>
    <x v="2"/>
    <n v="78"/>
    <x v="7"/>
    <n v="13490"/>
    <n v="11467"/>
    <s v="General Admission (1 day)"/>
    <s v="N.A."/>
    <n v="-2255"/>
  </r>
  <r>
    <s v="Joe Alledi"/>
    <x v="7"/>
    <x v="35"/>
    <x v="2"/>
    <n v="80"/>
    <x v="7"/>
    <n v="12800"/>
    <n v="7680"/>
    <s v="General Admission (1 day)"/>
    <s v="N.A."/>
    <n v="-2253"/>
  </r>
  <r>
    <s v="Joe Alledi"/>
    <x v="7"/>
    <x v="35"/>
    <x v="2"/>
    <n v="31"/>
    <x v="0"/>
    <n v="490"/>
    <n v="378"/>
    <s v="Seating Cat. 1"/>
    <s v="N.A."/>
    <n v="-2253"/>
  </r>
  <r>
    <s v="Joe Alledi"/>
    <x v="7"/>
    <x v="35"/>
    <x v="2"/>
    <n v="190"/>
    <x v="3"/>
    <n v="300"/>
    <n v="195"/>
    <s v="Ticket + Air travel Package"/>
    <s v="N.A."/>
    <n v="-2253"/>
  </r>
  <r>
    <s v="Joe Alledi"/>
    <x v="7"/>
    <x v="35"/>
    <x v="2"/>
    <n v="381"/>
    <x v="4"/>
    <n v="400"/>
    <n v="336"/>
    <s v="Ticket + Air travel + Hotel Package"/>
    <s v="N.A."/>
    <n v="-2253"/>
  </r>
  <r>
    <s v="Joe Alledi"/>
    <x v="3"/>
    <x v="32"/>
    <x v="2"/>
    <n v="65"/>
    <x v="7"/>
    <n v="9780"/>
    <n v="7727"/>
    <s v="General Admission (1 day)"/>
    <s v="N.A."/>
    <n v="-2245"/>
  </r>
  <r>
    <s v="Joe Alledi"/>
    <x v="3"/>
    <x v="32"/>
    <x v="2"/>
    <n v="80"/>
    <x v="0"/>
    <n v="1240"/>
    <n v="1116"/>
    <s v="Seating Cat. 1"/>
    <s v="N.A."/>
    <n v="-2245"/>
  </r>
  <r>
    <s v="John Green Quartet"/>
    <x v="7"/>
    <x v="36"/>
    <x v="4"/>
    <n v="78"/>
    <x v="0"/>
    <n v="450"/>
    <n v="329"/>
    <s v="Seating Cat. 1"/>
    <s v="N.A."/>
    <n v="-2270"/>
  </r>
  <r>
    <s v="John Green Quartet"/>
    <x v="7"/>
    <x v="36"/>
    <x v="4"/>
    <n v="91"/>
    <x v="1"/>
    <n v="210"/>
    <n v="139"/>
    <s v="Seating Cat. 2"/>
    <s v="N.A."/>
    <n v="-2270"/>
  </r>
  <r>
    <s v="John Green Quartet"/>
    <x v="7"/>
    <x v="36"/>
    <x v="4"/>
    <n v="178"/>
    <x v="2"/>
    <n v="200"/>
    <n v="110"/>
    <s v="Seating Cat. 3"/>
    <s v="N.A."/>
    <n v="-2270"/>
  </r>
  <r>
    <s v="John Green Quartet"/>
    <x v="7"/>
    <x v="36"/>
    <x v="4"/>
    <n v="200"/>
    <x v="3"/>
    <n v="300"/>
    <n v="276"/>
    <s v="Ticket + Air travel Package"/>
    <n v="0.25"/>
    <n v="-2270"/>
  </r>
  <r>
    <s v="John Green Quartet"/>
    <x v="7"/>
    <x v="36"/>
    <x v="4"/>
    <n v="359"/>
    <x v="4"/>
    <n v="400"/>
    <n v="244"/>
    <s v="Ticket + Air travel + Hotel Package"/>
    <s v="N.A."/>
    <n v="-2270"/>
  </r>
  <r>
    <s v="John Green Quartet"/>
    <x v="11"/>
    <x v="19"/>
    <x v="4"/>
    <n v="67"/>
    <x v="0"/>
    <n v="480"/>
    <n v="317"/>
    <s v="Seating Cat. 1"/>
    <s v="N.A."/>
    <n v="-2267"/>
  </r>
  <r>
    <s v="John Green Quartet"/>
    <x v="11"/>
    <x v="19"/>
    <x v="4"/>
    <n v="70"/>
    <x v="1"/>
    <n v="250"/>
    <n v="148"/>
    <s v="Seating Cat. 2"/>
    <s v="N.A."/>
    <n v="-2267"/>
  </r>
  <r>
    <s v="John Green Quartet"/>
    <x v="11"/>
    <x v="19"/>
    <x v="4"/>
    <n v="146"/>
    <x v="2"/>
    <n v="110"/>
    <n v="104"/>
    <s v="Seating Cat. 3"/>
    <s v="N.A."/>
    <n v="-2267"/>
  </r>
  <r>
    <s v="John Green Quartet"/>
    <x v="11"/>
    <x v="19"/>
    <x v="4"/>
    <n v="190"/>
    <x v="3"/>
    <n v="300"/>
    <n v="270"/>
    <s v="Ticket + Air travel Package"/>
    <s v="N.A."/>
    <n v="-2267"/>
  </r>
  <r>
    <s v="John Green Quartet"/>
    <x v="11"/>
    <x v="19"/>
    <x v="4"/>
    <n v="369"/>
    <x v="4"/>
    <n v="300"/>
    <n v="156"/>
    <s v="Ticket + Air travel + Hotel Package"/>
    <s v="N.A."/>
    <n v="-2267"/>
  </r>
  <r>
    <s v="John Green Quartet"/>
    <x v="2"/>
    <x v="20"/>
    <x v="4"/>
    <n v="58"/>
    <x v="0"/>
    <n v="390"/>
    <n v="289"/>
    <s v="Seating Cat. 1"/>
    <s v="N.A."/>
    <n v="-2267"/>
  </r>
  <r>
    <s v="John Green Quartet"/>
    <x v="2"/>
    <x v="20"/>
    <x v="4"/>
    <n v="97"/>
    <x v="1"/>
    <n v="225"/>
    <n v="167"/>
    <s v="Seating Cat. 2"/>
    <s v="N.A."/>
    <n v="-2267"/>
  </r>
  <r>
    <s v="John Green Quartet"/>
    <x v="2"/>
    <x v="20"/>
    <x v="4"/>
    <n v="119"/>
    <x v="2"/>
    <n v="200"/>
    <n v="186"/>
    <s v="Seating Cat. 3"/>
    <s v="N.A."/>
    <n v="-2267"/>
  </r>
  <r>
    <s v="John Green Quartet"/>
    <x v="2"/>
    <x v="20"/>
    <x v="4"/>
    <n v="221"/>
    <x v="3"/>
    <n v="200"/>
    <n v="174"/>
    <s v="Ticket + Air travel Package"/>
    <s v="N.A."/>
    <n v="-2267"/>
  </r>
  <r>
    <s v="John Green Quartet"/>
    <x v="2"/>
    <x v="20"/>
    <x v="4"/>
    <n v="335"/>
    <x v="4"/>
    <n v="400"/>
    <n v="356"/>
    <s v="Ticket + Air travel + Hotel Package"/>
    <s v="N.A."/>
    <n v="-2267"/>
  </r>
  <r>
    <s v="Lo schiaccianoci"/>
    <x v="7"/>
    <x v="17"/>
    <x v="5"/>
    <n v="43"/>
    <x v="0"/>
    <n v="680"/>
    <n v="340"/>
    <s v="Seating Cat. 1"/>
    <s v="N.A."/>
    <n v="-2304"/>
  </r>
  <r>
    <s v="Lo schiaccianoci"/>
    <x v="7"/>
    <x v="17"/>
    <x v="5"/>
    <n v="110"/>
    <x v="1"/>
    <n v="250"/>
    <n v="228"/>
    <s v="Seating Cat. 2"/>
    <s v="N.A."/>
    <n v="-2304"/>
  </r>
  <r>
    <s v="Lo schiaccianoci"/>
    <x v="7"/>
    <x v="17"/>
    <x v="5"/>
    <n v="113"/>
    <x v="2"/>
    <n v="200"/>
    <n v="132"/>
    <s v="Seating Cat. 3"/>
    <s v="N.A."/>
    <n v="-2304"/>
  </r>
  <r>
    <s v="Lo schiaccianoci"/>
    <x v="7"/>
    <x v="17"/>
    <x v="5"/>
    <n v="243"/>
    <x v="3"/>
    <n v="300"/>
    <n v="228"/>
    <s v="Ticket + Air travel Package"/>
    <s v="N.A."/>
    <n v="-2304"/>
  </r>
  <r>
    <s v="Lo schiaccianoci"/>
    <x v="7"/>
    <x v="17"/>
    <x v="5"/>
    <n v="33"/>
    <x v="5"/>
    <n v="57"/>
    <n v="42"/>
    <s v="Seating-disabled"/>
    <s v="N.A."/>
    <n v="-2304"/>
  </r>
  <r>
    <s v="Lo schiaccianoci"/>
    <x v="7"/>
    <x v="17"/>
    <x v="5"/>
    <n v="312"/>
    <x v="4"/>
    <n v="300"/>
    <n v="231"/>
    <s v="Ticket + Air travel + Hotel Package"/>
    <s v="N.A."/>
    <n v="-2304"/>
  </r>
  <r>
    <s v="Lo schiaccianoci"/>
    <x v="12"/>
    <x v="37"/>
    <x v="5"/>
    <n v="36"/>
    <x v="0"/>
    <n v="486"/>
    <n v="443"/>
    <s v="Seating Cat. 1"/>
    <s v="N.A."/>
    <n v="-2243"/>
  </r>
  <r>
    <s v="Lo schiaccianoci"/>
    <x v="12"/>
    <x v="37"/>
    <x v="5"/>
    <n v="112"/>
    <x v="1"/>
    <n v="390"/>
    <n v="305"/>
    <s v="Seating Cat. 2"/>
    <s v="N.A."/>
    <n v="-2243"/>
  </r>
  <r>
    <s v="Lo schiaccianoci"/>
    <x v="12"/>
    <x v="37"/>
    <x v="5"/>
    <n v="122"/>
    <x v="2"/>
    <n v="204"/>
    <n v="184"/>
    <s v="Seating Cat. 3"/>
    <s v="N.A."/>
    <n v="-2243"/>
  </r>
  <r>
    <s v="Lo schiaccianoci"/>
    <x v="12"/>
    <x v="37"/>
    <x v="5"/>
    <n v="216"/>
    <x v="3"/>
    <n v="300"/>
    <n v="159"/>
    <s v="Ticket + Air travel Package"/>
    <s v="N.A."/>
    <n v="-2243"/>
  </r>
  <r>
    <s v="Lo schiaccianoci"/>
    <x v="12"/>
    <x v="37"/>
    <x v="5"/>
    <n v="31"/>
    <x v="5"/>
    <n v="58"/>
    <n v="43"/>
    <s v="Seating-disabled"/>
    <s v="N.A."/>
    <n v="-2243"/>
  </r>
  <r>
    <s v="Lo schiaccianoci"/>
    <x v="12"/>
    <x v="37"/>
    <x v="5"/>
    <n v="24"/>
    <x v="6"/>
    <n v="150"/>
    <n v="81"/>
    <s v="Parking place"/>
    <s v="N.A."/>
    <n v="-2243"/>
  </r>
  <r>
    <s v="Lo schiaccianoci"/>
    <x v="12"/>
    <x v="37"/>
    <x v="5"/>
    <n v="330"/>
    <x v="4"/>
    <n v="300"/>
    <n v="159"/>
    <s v="Ticket + Air travel + Hotel Package"/>
    <s v="N.A."/>
    <n v="-2243"/>
  </r>
  <r>
    <s v="London Blues Fest"/>
    <x v="7"/>
    <x v="38"/>
    <x v="3"/>
    <s v=""/>
    <x v="7"/>
    <n v="75000"/>
    <n v="48000"/>
    <s v="General Admission (1 day)"/>
    <s v="N.A."/>
    <n v="-2302"/>
  </r>
  <r>
    <s v="London Blues Fest"/>
    <x v="7"/>
    <x v="38"/>
    <x v="3"/>
    <n v="78"/>
    <x v="0"/>
    <n v="2500"/>
    <n v="2275"/>
    <s v="Seating Cat. 1"/>
    <s v="N.A."/>
    <n v="-2302"/>
  </r>
  <r>
    <s v="London Blues Fest"/>
    <x v="7"/>
    <x v="38"/>
    <x v="3"/>
    <s v=""/>
    <x v="9"/>
    <n v="75000"/>
    <n v="47250"/>
    <s v="General Admission (season ticket)"/>
    <s v="N.A."/>
    <n v="-2302"/>
  </r>
  <r>
    <s v="London Blues Fest"/>
    <x v="7"/>
    <x v="38"/>
    <x v="3"/>
    <n v="28"/>
    <x v="5"/>
    <n v="115"/>
    <n v="92"/>
    <s v="Seating-disabled"/>
    <s v="N.A."/>
    <n v="-2302"/>
  </r>
  <r>
    <s v="London Blues Fest"/>
    <x v="7"/>
    <x v="30"/>
    <x v="3"/>
    <s v=""/>
    <x v="7"/>
    <n v="75000"/>
    <n v="70500"/>
    <s v="General Admission (1 day)"/>
    <s v="N.A."/>
    <n v="-2302"/>
  </r>
  <r>
    <s v="London Blues Fest"/>
    <x v="7"/>
    <x v="30"/>
    <x v="3"/>
    <n v="77"/>
    <x v="0"/>
    <n v="2500"/>
    <n v="1750"/>
    <s v="Seating Cat. 1"/>
    <s v="N.A."/>
    <n v="-2302"/>
  </r>
  <r>
    <s v="London Blues Fest"/>
    <x v="7"/>
    <x v="30"/>
    <x v="3"/>
    <n v="22"/>
    <x v="5"/>
    <n v="120"/>
    <n v="90"/>
    <s v="Seating-disabled"/>
    <s v="N.A."/>
    <n v="-2302"/>
  </r>
  <r>
    <s v="London Blues Fest"/>
    <x v="7"/>
    <x v="30"/>
    <x v="3"/>
    <n v="247"/>
    <x v="3"/>
    <n v="200"/>
    <n v="158"/>
    <s v="Ticket + Air travel Package"/>
    <s v="N.A."/>
    <n v="-2302"/>
  </r>
  <r>
    <s v="London Blues Fest"/>
    <x v="7"/>
    <x v="30"/>
    <x v="3"/>
    <n v="198"/>
    <x v="9"/>
    <n v="75000"/>
    <n v="45750"/>
    <s v="General Admission (season ticket)"/>
    <s v="N.A."/>
    <n v="-2302"/>
  </r>
  <r>
    <s v="London Blues Fest"/>
    <x v="7"/>
    <x v="30"/>
    <x v="3"/>
    <n v="377"/>
    <x v="4"/>
    <n v="300"/>
    <n v="255"/>
    <s v="Ticket + Air travel + Hotel Package"/>
    <s v="N.A."/>
    <n v="-2302"/>
  </r>
  <r>
    <s v="Mark Rodgers"/>
    <x v="6"/>
    <x v="39"/>
    <x v="2"/>
    <n v="80"/>
    <x v="7"/>
    <n v="10658"/>
    <n v="6076"/>
    <s v="General Admission (1 day)"/>
    <s v="N.A."/>
    <n v="-2273"/>
  </r>
  <r>
    <s v="Mark Rodgers"/>
    <x v="5"/>
    <x v="25"/>
    <x v="2"/>
    <n v="60"/>
    <x v="7"/>
    <n v="12049"/>
    <n v="6025"/>
    <s v="General Admission (1 day)"/>
    <s v="N.A."/>
    <n v="-2266"/>
  </r>
  <r>
    <s v="Mark Rodgers"/>
    <x v="7"/>
    <x v="10"/>
    <x v="2"/>
    <n v="45"/>
    <x v="7"/>
    <n v="8862"/>
    <n v="7445"/>
    <s v="General Admission (1 day)"/>
    <s v="N.A."/>
    <n v="-2255"/>
  </r>
  <r>
    <s v="Mark Rodgers"/>
    <x v="8"/>
    <x v="11"/>
    <x v="2"/>
    <n v="30"/>
    <x v="7"/>
    <n v="12580"/>
    <n v="8177"/>
    <s v="General Admission (1 day)"/>
    <s v="N.A."/>
    <n v="-2251"/>
  </r>
  <r>
    <s v="Mark Rodgers"/>
    <x v="11"/>
    <x v="40"/>
    <x v="2"/>
    <n v="60"/>
    <x v="7"/>
    <n v="9749"/>
    <n v="7507"/>
    <s v="General Admission (1 day)"/>
    <s v="N.A."/>
    <n v="-2247"/>
  </r>
  <r>
    <s v="Midnight Soul"/>
    <x v="1"/>
    <x v="41"/>
    <x v="2"/>
    <n v="74"/>
    <x v="7"/>
    <n v="6853"/>
    <n v="4181"/>
    <s v="General Admission (1 day)"/>
    <s v="N.A."/>
    <n v="-2303"/>
  </r>
  <r>
    <s v="Midnight Soul"/>
    <x v="2"/>
    <x v="30"/>
    <x v="2"/>
    <n v="61"/>
    <x v="7"/>
    <n v="11952"/>
    <n v="9443"/>
    <s v="General Admission (1 day)"/>
    <s v="N.A."/>
    <n v="-2302"/>
  </r>
  <r>
    <s v="Midnight Soul"/>
    <x v="2"/>
    <x v="30"/>
    <x v="2"/>
    <n v="78"/>
    <x v="0"/>
    <n v="1000"/>
    <n v="950"/>
    <s v="Seating Cat. 1"/>
    <s v="N.A."/>
    <n v="-2302"/>
  </r>
  <r>
    <s v="Midnight Soul"/>
    <x v="2"/>
    <x v="30"/>
    <x v="2"/>
    <n v="266"/>
    <x v="3"/>
    <n v="300"/>
    <n v="261"/>
    <s v="Ticket + Air travel Package"/>
    <s v="N.A."/>
    <n v="-2302"/>
  </r>
  <r>
    <s v="Midnight Soul"/>
    <x v="2"/>
    <x v="30"/>
    <x v="2"/>
    <n v="343"/>
    <x v="4"/>
    <n v="200"/>
    <n v="160"/>
    <s v="Ticket + Air travel + Hotel Package"/>
    <s v="N.A."/>
    <n v="-2302"/>
  </r>
  <r>
    <s v="Midnight Soul"/>
    <x v="0"/>
    <x v="42"/>
    <x v="2"/>
    <n v="61"/>
    <x v="7"/>
    <n v="7508"/>
    <n v="7133"/>
    <s v="General Admission (1 day)"/>
    <s v="N.A."/>
    <n v="-2300"/>
  </r>
  <r>
    <s v="Notre Dame de Paris"/>
    <x v="6"/>
    <x v="43"/>
    <x v="1"/>
    <n v="59"/>
    <x v="0"/>
    <n v="688"/>
    <n v="448"/>
    <s v="Seating Cat. 1"/>
    <s v="N.A."/>
    <n v="-2296"/>
  </r>
  <r>
    <s v="Notre Dame de Paris"/>
    <x v="6"/>
    <x v="43"/>
    <x v="1"/>
    <n v="86"/>
    <x v="1"/>
    <n v="498"/>
    <n v="344"/>
    <s v="Seating Cat. 2"/>
    <s v="N.A."/>
    <n v="-2296"/>
  </r>
  <r>
    <s v="Notre Dame de Paris"/>
    <x v="7"/>
    <x v="44"/>
    <x v="1"/>
    <n v="43"/>
    <x v="0"/>
    <n v="742"/>
    <n v="498"/>
    <s v="Seating Cat. 1"/>
    <s v="N.A."/>
    <n v="-2290"/>
  </r>
  <r>
    <s v="Notre Dame de Paris"/>
    <x v="7"/>
    <x v="44"/>
    <x v="1"/>
    <n v="81"/>
    <x v="1"/>
    <n v="397"/>
    <n v="326"/>
    <s v="Seating Cat. 2"/>
    <s v="N.A."/>
    <n v="-2290"/>
  </r>
  <r>
    <s v="Notre Dame de Paris"/>
    <x v="5"/>
    <x v="6"/>
    <x v="1"/>
    <n v="48"/>
    <x v="0"/>
    <n v="648"/>
    <n v="551"/>
    <s v="Seating Cat. 1"/>
    <s v="N.A."/>
    <n v="-2287"/>
  </r>
  <r>
    <s v="Notre Dame de Paris"/>
    <x v="5"/>
    <x v="6"/>
    <x v="1"/>
    <n v="85"/>
    <x v="1"/>
    <n v="412"/>
    <n v="351"/>
    <s v="Seating Cat. 2"/>
    <s v="N.A."/>
    <n v="-2287"/>
  </r>
  <r>
    <s v="Notre Dame de Paris"/>
    <x v="5"/>
    <x v="45"/>
    <x v="1"/>
    <n v="74"/>
    <x v="0"/>
    <n v="648"/>
    <n v="564"/>
    <s v="Seating Cat. 1"/>
    <s v="N.A."/>
    <n v="-2284"/>
  </r>
  <r>
    <s v="Notre Dame de Paris"/>
    <x v="5"/>
    <x v="45"/>
    <x v="1"/>
    <n v="71"/>
    <x v="1"/>
    <n v="412"/>
    <n v="338"/>
    <s v="Seating Cat. 2"/>
    <s v="N.A."/>
    <n v="-2284"/>
  </r>
  <r>
    <s v="Notre Dame de Paris"/>
    <x v="7"/>
    <x v="46"/>
    <x v="1"/>
    <n v="67"/>
    <x v="0"/>
    <n v="742"/>
    <n v="683"/>
    <s v="Seating Cat. 1"/>
    <s v="N.A."/>
    <n v="-2282"/>
  </r>
  <r>
    <s v="Notre Dame de Paris"/>
    <x v="7"/>
    <x v="46"/>
    <x v="1"/>
    <n v="100"/>
    <x v="1"/>
    <n v="397"/>
    <n v="270"/>
    <s v="Seating Cat. 2"/>
    <n v="0.15"/>
    <n v="-2282"/>
  </r>
  <r>
    <s v="Notre Dame de Paris"/>
    <x v="5"/>
    <x v="20"/>
    <x v="1"/>
    <n v="58"/>
    <x v="0"/>
    <n v="648"/>
    <n v="337"/>
    <s v="Seating Cat. 1"/>
    <s v="N.A."/>
    <n v="-2267"/>
  </r>
  <r>
    <s v="Notre Dame de Paris"/>
    <x v="5"/>
    <x v="20"/>
    <x v="1"/>
    <n v="87"/>
    <x v="1"/>
    <n v="412"/>
    <n v="367"/>
    <s v="Seating Cat. 2"/>
    <s v="N.A."/>
    <n v="-2267"/>
  </r>
  <r>
    <s v="Notre Dame de Paris"/>
    <x v="6"/>
    <x v="47"/>
    <x v="1"/>
    <n v="47"/>
    <x v="0"/>
    <n v="688"/>
    <n v="523"/>
    <s v="Seating Cat. 1"/>
    <s v="N.A."/>
    <n v="-2264"/>
  </r>
  <r>
    <s v="Notre Dame de Paris"/>
    <x v="6"/>
    <x v="47"/>
    <x v="1"/>
    <n v="85"/>
    <x v="1"/>
    <n v="498"/>
    <n v="414"/>
    <s v="Seating Cat. 2"/>
    <s v="N.A."/>
    <n v="-2264"/>
  </r>
  <r>
    <s v="Notre Dame de Paris"/>
    <x v="6"/>
    <x v="48"/>
    <x v="1"/>
    <n v="55"/>
    <x v="0"/>
    <n v="688"/>
    <n v="523"/>
    <s v="Seating Cat. 1"/>
    <s v="N.A."/>
    <n v="-2260"/>
  </r>
  <r>
    <s v="Notre Dame de Paris"/>
    <x v="6"/>
    <x v="48"/>
    <x v="1"/>
    <n v="96"/>
    <x v="1"/>
    <n v="498"/>
    <n v="469"/>
    <s v="Seating Cat. 2"/>
    <s v="N.A."/>
    <n v="-2260"/>
  </r>
  <r>
    <s v="Orchestra e Coro dell'Opera"/>
    <x v="2"/>
    <x v="38"/>
    <x v="4"/>
    <n v="31"/>
    <x v="0"/>
    <n v="780"/>
    <n v="546"/>
    <s v="Seating Cat. 1"/>
    <s v="N.A."/>
    <n v="-2302"/>
  </r>
  <r>
    <s v="Orchestra e Coro dell'Opera"/>
    <x v="5"/>
    <x v="49"/>
    <x v="4"/>
    <n v="50"/>
    <x v="0"/>
    <n v="1960"/>
    <n v="1862"/>
    <s v="Seating Cat. 1"/>
    <n v="0.1"/>
    <n v="-2287"/>
  </r>
  <r>
    <s v="Orchestra e Coro dell'Opera"/>
    <x v="5"/>
    <x v="49"/>
    <x v="4"/>
    <n v="101"/>
    <x v="1"/>
    <n v="496"/>
    <n v="248"/>
    <s v="Seating Cat. 2"/>
    <s v="N.A."/>
    <n v="-2287"/>
  </r>
  <r>
    <s v="Orchestra e Coro dell'Opera"/>
    <x v="5"/>
    <x v="49"/>
    <x v="4"/>
    <n v="173"/>
    <x v="2"/>
    <n v="248"/>
    <n v="144"/>
    <s v="Seating Cat. 3"/>
    <s v="N.A."/>
    <n v="-2287"/>
  </r>
  <r>
    <s v="Orchestra e Coro dell'Opera"/>
    <x v="5"/>
    <x v="49"/>
    <x v="4"/>
    <n v="30"/>
    <x v="5"/>
    <n v="91"/>
    <n v="49"/>
    <s v="Seating-disabled"/>
    <s v="N.A."/>
    <n v="-2287"/>
  </r>
  <r>
    <s v="Orchestra e Coro dell'Opera"/>
    <x v="5"/>
    <x v="49"/>
    <x v="4"/>
    <n v="39"/>
    <x v="6"/>
    <n v="100"/>
    <n v="94"/>
    <s v="Parking place"/>
    <s v="N.A."/>
    <n v="-2287"/>
  </r>
  <r>
    <s v="Orchestra e Coro dell'Opera"/>
    <x v="1"/>
    <x v="25"/>
    <x v="4"/>
    <n v="42"/>
    <x v="0"/>
    <n v="1560"/>
    <n v="890"/>
    <s v="Seating Cat. 1"/>
    <s v="N.A."/>
    <n v="-2266"/>
  </r>
  <r>
    <s v="Orchestra e Coro dell'Opera"/>
    <x v="1"/>
    <x v="25"/>
    <x v="4"/>
    <n v="74"/>
    <x v="1"/>
    <n v="542"/>
    <n v="499"/>
    <s v="Seating Cat. 2"/>
    <s v="N.A."/>
    <n v="-2266"/>
  </r>
  <r>
    <s v="Orchestra e Coro dell'Opera"/>
    <x v="1"/>
    <x v="25"/>
    <x v="4"/>
    <n v="35"/>
    <x v="5"/>
    <n v="108"/>
    <n v="69"/>
    <s v="Seating-disabled"/>
    <s v="N.A."/>
    <n v="-2266"/>
  </r>
  <r>
    <s v="Orchestra e Coro dell'Opera"/>
    <x v="1"/>
    <x v="25"/>
    <x v="4"/>
    <n v="29"/>
    <x v="6"/>
    <n v="150"/>
    <n v="107"/>
    <s v="Parking place"/>
    <s v="N.A."/>
    <n v="-2266"/>
  </r>
  <r>
    <s v="Pause"/>
    <x v="10"/>
    <x v="50"/>
    <x v="1"/>
    <n v="31"/>
    <x v="7"/>
    <n v="12853"/>
    <n v="11825"/>
    <s v="General Admission (1 day)"/>
    <s v="N.A."/>
    <n v="-2291"/>
  </r>
  <r>
    <s v="Pause"/>
    <x v="4"/>
    <x v="2"/>
    <x v="1"/>
    <n v="68"/>
    <x v="7"/>
    <n v="11498"/>
    <n v="5864"/>
    <s v="General Admission (1 day)"/>
    <s v="N.A."/>
    <n v="-2288"/>
  </r>
  <r>
    <s v="Pause"/>
    <x v="5"/>
    <x v="29"/>
    <x v="1"/>
    <n v="57"/>
    <x v="7"/>
    <n v="12184"/>
    <n v="9748"/>
    <s v="General Admission (1 day)"/>
    <s v="N.A."/>
    <n v="-2272"/>
  </r>
  <r>
    <s v="Plastic Jungle"/>
    <x v="11"/>
    <x v="51"/>
    <x v="2"/>
    <n v="41"/>
    <x v="7"/>
    <n v="9895"/>
    <n v="4948"/>
    <s v="General Admission (1 day)"/>
    <s v="N.A."/>
    <n v="-2254"/>
  </r>
  <r>
    <s v="Plastic Jungle"/>
    <x v="11"/>
    <x v="51"/>
    <x v="2"/>
    <n v="57"/>
    <x v="0"/>
    <n v="460"/>
    <n v="253"/>
    <s v="Seating Cat. 1"/>
    <s v="N.A."/>
    <n v="-2254"/>
  </r>
  <r>
    <s v="Plastic Jungle"/>
    <x v="11"/>
    <x v="51"/>
    <x v="2"/>
    <n v="232"/>
    <x v="3"/>
    <n v="200"/>
    <n v="156"/>
    <s v="Ticket + Air travel Package"/>
    <s v="N.A."/>
    <n v="-2254"/>
  </r>
  <r>
    <s v="Plastic Jungle"/>
    <x v="11"/>
    <x v="51"/>
    <x v="2"/>
    <n v="350"/>
    <x v="4"/>
    <n v="400"/>
    <n v="380"/>
    <s v="Ticket + Air travel + Hotel Package"/>
    <s v="N.A."/>
    <n v="-2254"/>
  </r>
  <r>
    <s v="Plastic Jungle"/>
    <x v="12"/>
    <x v="40"/>
    <x v="2"/>
    <n v="54"/>
    <x v="7"/>
    <n v="9439"/>
    <n v="8779"/>
    <s v="General Admission (1 day)"/>
    <s v="N.A."/>
    <n v="-2247"/>
  </r>
  <r>
    <s v="Plastic Jungle"/>
    <x v="12"/>
    <x v="40"/>
    <x v="2"/>
    <n v="70"/>
    <x v="0"/>
    <n v="988"/>
    <n v="771"/>
    <s v="Seating Cat. 1"/>
    <s v="N.A."/>
    <n v="-2247"/>
  </r>
  <r>
    <s v="Plastic Jungle"/>
    <x v="12"/>
    <x v="40"/>
    <x v="2"/>
    <n v="202"/>
    <x v="3"/>
    <n v="300"/>
    <n v="255"/>
    <s v="Ticket + Air travel Package"/>
    <s v="N.A."/>
    <n v="-2247"/>
  </r>
  <r>
    <s v="Plastic Jungle"/>
    <x v="12"/>
    <x v="40"/>
    <x v="2"/>
    <n v="301"/>
    <x v="4"/>
    <n v="300"/>
    <n v="258"/>
    <s v="Ticket + Air travel + Hotel Package"/>
    <s v="N.A."/>
    <n v="-2247"/>
  </r>
  <r>
    <s v="Rock in London"/>
    <x v="7"/>
    <x v="39"/>
    <x v="3"/>
    <n v="50"/>
    <x v="7"/>
    <n v="75000"/>
    <n v="54750"/>
    <s v="General Admission (1 day)"/>
    <n v="0.1"/>
    <n v="-2273"/>
  </r>
  <r>
    <s v="Rock in London"/>
    <x v="7"/>
    <x v="39"/>
    <x v="3"/>
    <n v="94"/>
    <x v="8"/>
    <n v="50000"/>
    <n v="43500"/>
    <s v="General Admission (2 days)"/>
    <s v="N.A."/>
    <n v="-2273"/>
  </r>
  <r>
    <s v="Rock in London"/>
    <x v="7"/>
    <x v="39"/>
    <x v="3"/>
    <n v="119"/>
    <x v="9"/>
    <n v="50000"/>
    <n v="33000"/>
    <s v="General Admission (season ticket)"/>
    <s v="N.A."/>
    <n v="-2273"/>
  </r>
  <r>
    <s v="Rock in London"/>
    <x v="7"/>
    <x v="39"/>
    <x v="3"/>
    <n v="35"/>
    <x v="5"/>
    <n v="108"/>
    <n v="83"/>
    <s v="Seating-disabled"/>
    <s v="N.A."/>
    <n v="-2273"/>
  </r>
  <r>
    <s v="Rock in London"/>
    <x v="7"/>
    <x v="39"/>
    <x v="3"/>
    <n v="21"/>
    <x v="6"/>
    <n v="150"/>
    <n v="83"/>
    <s v="Parking place"/>
    <s v="N.A."/>
    <n v="-2273"/>
  </r>
  <r>
    <s v="Rock in London"/>
    <x v="7"/>
    <x v="39"/>
    <x v="3"/>
    <n v="63"/>
    <x v="0"/>
    <n v="2500"/>
    <n v="1650"/>
    <s v="Seating Cat. 1"/>
    <s v="N.A."/>
    <n v="-2273"/>
  </r>
  <r>
    <s v="Rock in London"/>
    <x v="7"/>
    <x v="52"/>
    <x v="3"/>
    <n v="57"/>
    <x v="7"/>
    <n v="50000"/>
    <n v="40000"/>
    <s v="General Admission (1 day)"/>
    <s v="N.A."/>
    <n v="-2272"/>
  </r>
  <r>
    <s v="Rock in London"/>
    <x v="7"/>
    <x v="52"/>
    <x v="3"/>
    <n v="34"/>
    <x v="5"/>
    <n v="90"/>
    <n v="45"/>
    <s v="Seating-disabled"/>
    <s v="N.A."/>
    <n v="-2272"/>
  </r>
  <r>
    <s v="Rock in London"/>
    <x v="7"/>
    <x v="52"/>
    <x v="3"/>
    <n v="31"/>
    <x v="6"/>
    <n v="200"/>
    <n v="160"/>
    <s v="Parking place"/>
    <s v="N.A."/>
    <n v="-2272"/>
  </r>
  <r>
    <s v="Rock in London"/>
    <x v="7"/>
    <x v="52"/>
    <x v="3"/>
    <n v="54"/>
    <x v="0"/>
    <n v="2500"/>
    <n v="1275"/>
    <s v="Seating Cat. 1"/>
    <s v="N.A."/>
    <n v="-2272"/>
  </r>
  <r>
    <s v="Rock in London"/>
    <x v="7"/>
    <x v="31"/>
    <x v="3"/>
    <n v="40"/>
    <x v="7"/>
    <n v="75000"/>
    <n v="40500"/>
    <s v="General Admission (1 day)"/>
    <s v="N.A."/>
    <n v="-2272"/>
  </r>
  <r>
    <s v="Rock in London"/>
    <x v="7"/>
    <x v="31"/>
    <x v="3"/>
    <n v="276"/>
    <x v="3"/>
    <n v="300"/>
    <n v="150"/>
    <s v="Ticket + Air travel Package"/>
    <s v="N.A."/>
    <n v="-2272"/>
  </r>
  <r>
    <s v="Rock in London"/>
    <x v="7"/>
    <x v="31"/>
    <x v="3"/>
    <n v="28"/>
    <x v="5"/>
    <n v="55"/>
    <n v="44"/>
    <s v="Seating-disabled"/>
    <s v="N.A."/>
    <n v="-2272"/>
  </r>
  <r>
    <s v="Rock in London"/>
    <x v="7"/>
    <x v="31"/>
    <x v="3"/>
    <n v="21"/>
    <x v="6"/>
    <n v="150"/>
    <n v="80"/>
    <s v="Parking place"/>
    <s v="N.A."/>
    <n v="-2272"/>
  </r>
  <r>
    <s v="Rock in London"/>
    <x v="7"/>
    <x v="31"/>
    <x v="3"/>
    <n v="62"/>
    <x v="0"/>
    <n v="2500"/>
    <n v="1650"/>
    <s v="Seating Cat. 1"/>
    <s v="N.A."/>
    <n v="-2272"/>
  </r>
  <r>
    <s v="Rock in London"/>
    <x v="7"/>
    <x v="31"/>
    <x v="3"/>
    <n v="380"/>
    <x v="4"/>
    <n v="300"/>
    <n v="159"/>
    <s v="Ticket + Air travel + Hotel Package"/>
    <s v="N.A."/>
    <n v="-2272"/>
  </r>
  <r>
    <s v="Romeo and Juliet"/>
    <x v="5"/>
    <x v="30"/>
    <x v="6"/>
    <n v="64"/>
    <x v="0"/>
    <n v="978"/>
    <n v="558"/>
    <s v="Seating Cat. 1"/>
    <s v="N.A."/>
    <n v="-2302"/>
  </r>
  <r>
    <s v="Romeo and Juliet"/>
    <x v="5"/>
    <x v="30"/>
    <x v="6"/>
    <n v="101"/>
    <x v="1"/>
    <n v="453"/>
    <n v="413"/>
    <s v="Seating Cat. 2"/>
    <s v="N.A."/>
    <n v="-2302"/>
  </r>
  <r>
    <s v="Romeo and Juliet"/>
    <x v="5"/>
    <x v="30"/>
    <x v="6"/>
    <n v="26"/>
    <x v="5"/>
    <n v="104"/>
    <n v="91"/>
    <s v="Seating-disabled"/>
    <s v="N.A."/>
    <n v="-2302"/>
  </r>
  <r>
    <s v="Romeo and Juliet"/>
    <x v="5"/>
    <x v="30"/>
    <x v="6"/>
    <n v="34"/>
    <x v="6"/>
    <n v="150"/>
    <n v="140"/>
    <s v="Parking place"/>
    <s v="N.A."/>
    <n v="-2302"/>
  </r>
  <r>
    <s v="Romeo and Juliet"/>
    <x v="5"/>
    <x v="30"/>
    <x v="6"/>
    <n v="188"/>
    <x v="3"/>
    <n v="200"/>
    <n v="122"/>
    <s v="Ticket + Air travel Package"/>
    <s v="N.A."/>
    <n v="-2302"/>
  </r>
  <r>
    <s v="Romeo and Juliet"/>
    <x v="5"/>
    <x v="30"/>
    <x v="6"/>
    <n v="344"/>
    <x v="4"/>
    <n v="200"/>
    <n v="142"/>
    <s v="Ticket + Air travel + Hotel Package"/>
    <s v="N.A."/>
    <n v="-2302"/>
  </r>
  <r>
    <s v="Romeo and Juliet"/>
    <x v="9"/>
    <x v="42"/>
    <x v="6"/>
    <n v="41"/>
    <x v="0"/>
    <n v="1340"/>
    <n v="912"/>
    <s v="Seating Cat. 1"/>
    <s v="N.A."/>
    <n v="-2300"/>
  </r>
  <r>
    <s v="Romeo and Juliet"/>
    <x v="9"/>
    <x v="42"/>
    <x v="6"/>
    <n v="190"/>
    <x v="3"/>
    <n v="300"/>
    <n v="267"/>
    <s v="Ticket + Air travel Package"/>
    <s v="N.A."/>
    <n v="-2300"/>
  </r>
  <r>
    <s v="Romeo and Juliet"/>
    <x v="9"/>
    <x v="42"/>
    <x v="6"/>
    <n v="360"/>
    <x v="4"/>
    <n v="400"/>
    <n v="348"/>
    <s v="Ticket + Air travel + Hotel Package"/>
    <s v="N.A."/>
    <n v="-2300"/>
  </r>
  <r>
    <s v="Romeo and Juliet"/>
    <x v="11"/>
    <x v="53"/>
    <x v="6"/>
    <n v="79"/>
    <x v="0"/>
    <n v="946"/>
    <n v="748"/>
    <s v="Seating Cat. 1"/>
    <s v="N.A."/>
    <n v="-2297"/>
  </r>
  <r>
    <s v="Romeo and Juliet"/>
    <x v="11"/>
    <x v="53"/>
    <x v="6"/>
    <n v="212"/>
    <x v="3"/>
    <n v="300"/>
    <n v="174"/>
    <s v="Ticket + Air travel Package"/>
    <s v="N.A."/>
    <n v="-2297"/>
  </r>
  <r>
    <s v="Romeo and Juliet"/>
    <x v="11"/>
    <x v="53"/>
    <x v="6"/>
    <n v="306"/>
    <x v="4"/>
    <n v="300"/>
    <n v="183"/>
    <s v="Ticket + Air travel + Hotel Package"/>
    <s v="N.A."/>
    <n v="-2297"/>
  </r>
  <r>
    <s v="Romeo and Juliet"/>
    <x v="9"/>
    <x v="54"/>
    <x v="6"/>
    <n v="47"/>
    <x v="0"/>
    <n v="1250"/>
    <n v="1113"/>
    <s v="Seating Cat. 1"/>
    <s v="N.A."/>
    <n v="-2292"/>
  </r>
  <r>
    <s v="Romeo and Juliet"/>
    <x v="9"/>
    <x v="54"/>
    <x v="6"/>
    <n v="261"/>
    <x v="3"/>
    <n v="300"/>
    <n v="213"/>
    <s v="Ticket + Air travel Package"/>
    <s v="N.A."/>
    <n v="-2292"/>
  </r>
  <r>
    <s v="Romeo and Juliet"/>
    <x v="9"/>
    <x v="54"/>
    <x v="6"/>
    <n v="397"/>
    <x v="4"/>
    <n v="200"/>
    <n v="142"/>
    <s v="Ticket + Air travel + Hotel Package"/>
    <s v="N.A."/>
    <n v="-2292"/>
  </r>
  <r>
    <s v="Romeo and Juliet"/>
    <x v="5"/>
    <x v="7"/>
    <x v="6"/>
    <n v="64"/>
    <x v="0"/>
    <n v="648"/>
    <n v="415"/>
    <s v="Seating Cat. 1"/>
    <s v="N.A."/>
    <n v="-2282"/>
  </r>
  <r>
    <s v="Romeo and Juliet"/>
    <x v="5"/>
    <x v="7"/>
    <x v="6"/>
    <n v="91"/>
    <x v="1"/>
    <n v="412"/>
    <n v="223"/>
    <s v="Seating Cat. 2"/>
    <s v="N.A."/>
    <n v="-2282"/>
  </r>
  <r>
    <s v="Romeo and Juliet"/>
    <x v="5"/>
    <x v="7"/>
    <x v="6"/>
    <n v="24"/>
    <x v="5"/>
    <n v="120"/>
    <n v="93"/>
    <s v="Seating-disabled"/>
    <s v="N.A."/>
    <n v="-2282"/>
  </r>
  <r>
    <s v="Romeo and Juliet"/>
    <x v="5"/>
    <x v="7"/>
    <x v="6"/>
    <n v="30"/>
    <x v="6"/>
    <n v="150"/>
    <n v="89"/>
    <s v="Parking place"/>
    <s v="N.A."/>
    <n v="-2282"/>
  </r>
  <r>
    <s v="Romeo and Juliet"/>
    <x v="5"/>
    <x v="7"/>
    <x v="6"/>
    <n v="291"/>
    <x v="3"/>
    <n v="400"/>
    <n v="368"/>
    <s v="Ticket + Air travel Package"/>
    <s v="N.A."/>
    <n v="-2282"/>
  </r>
  <r>
    <s v="Romeo and Juliet"/>
    <x v="5"/>
    <x v="7"/>
    <x v="6"/>
    <n v="345"/>
    <x v="4"/>
    <n v="300"/>
    <n v="210"/>
    <s v="Ticket + Air travel + Hotel Package"/>
    <s v="N.A."/>
    <n v="-2282"/>
  </r>
  <r>
    <s v="Romeo and Juliet"/>
    <x v="7"/>
    <x v="22"/>
    <x v="6"/>
    <n v="40"/>
    <x v="0"/>
    <n v="1104"/>
    <n v="994"/>
    <s v="Seating Cat. 1"/>
    <s v="N.A."/>
    <n v="-2277"/>
  </r>
  <r>
    <s v="Romeo and Juliet"/>
    <x v="7"/>
    <x v="22"/>
    <x v="6"/>
    <n v="77"/>
    <x v="1"/>
    <n v="386"/>
    <n v="205"/>
    <s v="Seating Cat. 2"/>
    <s v="N.A."/>
    <n v="-2277"/>
  </r>
  <r>
    <s v="Romeo and Juliet"/>
    <x v="7"/>
    <x v="22"/>
    <x v="6"/>
    <n v="165"/>
    <x v="2"/>
    <n v="210"/>
    <n v="175"/>
    <s v="Seating Cat. 3"/>
    <s v="N.A."/>
    <n v="-2277"/>
  </r>
  <r>
    <s v="Romeo and Juliet"/>
    <x v="7"/>
    <x v="22"/>
    <x v="6"/>
    <n v="289"/>
    <x v="3"/>
    <n v="300"/>
    <n v="177"/>
    <s v="Ticket + Air travel Package"/>
    <s v="N.A."/>
    <n v="-2277"/>
  </r>
  <r>
    <s v="Romeo and Juliet"/>
    <x v="7"/>
    <x v="22"/>
    <x v="6"/>
    <n v="349"/>
    <x v="4"/>
    <n v="300"/>
    <n v="267"/>
    <s v="Ticket + Air travel + Hotel Package"/>
    <s v="N.A."/>
    <n v="-2277"/>
  </r>
  <r>
    <s v="Romeo and Juliet"/>
    <x v="7"/>
    <x v="24"/>
    <x v="6"/>
    <n v="74"/>
    <x v="0"/>
    <n v="1104"/>
    <n v="619"/>
    <s v="Seating Cat. 1"/>
    <s v="N.A."/>
    <n v="-2268"/>
  </r>
  <r>
    <s v="Romeo and Juliet"/>
    <x v="7"/>
    <x v="24"/>
    <x v="6"/>
    <n v="82"/>
    <x v="1"/>
    <n v="386"/>
    <n v="221"/>
    <s v="Seating Cat. 2"/>
    <s v="N.A."/>
    <n v="-2268"/>
  </r>
  <r>
    <s v="Romeo and Juliet"/>
    <x v="7"/>
    <x v="24"/>
    <x v="6"/>
    <n v="189"/>
    <x v="2"/>
    <n v="210"/>
    <n v="135"/>
    <s v="Seating Cat. 3"/>
    <s v="N.A."/>
    <n v="-2268"/>
  </r>
  <r>
    <s v="Romeo and Juliet"/>
    <x v="7"/>
    <x v="24"/>
    <x v="6"/>
    <n v="299"/>
    <x v="3"/>
    <n v="200"/>
    <n v="180"/>
    <s v="Ticket + Air travel Package"/>
    <s v="N.A."/>
    <n v="-2268"/>
  </r>
  <r>
    <s v="Romeo and Juliet"/>
    <x v="7"/>
    <x v="24"/>
    <x v="6"/>
    <n v="311"/>
    <x v="4"/>
    <n v="300"/>
    <n v="258"/>
    <s v="Ticket + Air travel + Hotel Package"/>
    <s v="N.A."/>
    <n v="-2268"/>
  </r>
  <r>
    <s v="Romeo and Juliet"/>
    <x v="7"/>
    <x v="55"/>
    <x v="6"/>
    <n v="62"/>
    <x v="0"/>
    <n v="1104"/>
    <n v="751"/>
    <s v="Seating Cat. 1"/>
    <s v="N.A."/>
    <n v="-2265"/>
  </r>
  <r>
    <s v="Romeo and Juliet"/>
    <x v="7"/>
    <x v="55"/>
    <x v="6"/>
    <n v="96"/>
    <x v="1"/>
    <n v="386"/>
    <n v="263"/>
    <s v="Seating Cat. 2"/>
    <s v="N.A."/>
    <n v="-2265"/>
  </r>
  <r>
    <s v="Romeo and Juliet"/>
    <x v="7"/>
    <x v="55"/>
    <x v="6"/>
    <n v="193"/>
    <x v="2"/>
    <n v="210"/>
    <n v="179"/>
    <s v="Seating Cat. 3"/>
    <s v="N.A."/>
    <n v="-2265"/>
  </r>
  <r>
    <s v="Romeo and Juliet"/>
    <x v="7"/>
    <x v="55"/>
    <x v="6"/>
    <n v="222"/>
    <x v="3"/>
    <n v="400"/>
    <n v="352"/>
    <s v="Ticket + Air travel Package"/>
    <s v="N.A."/>
    <n v="-2265"/>
  </r>
  <r>
    <s v="Romeo and Juliet"/>
    <x v="7"/>
    <x v="55"/>
    <x v="6"/>
    <n v="392"/>
    <x v="4"/>
    <n v="300"/>
    <n v="207"/>
    <s v="Ticket + Air travel + Hotel Package"/>
    <s v="N.A."/>
    <n v="-2265"/>
  </r>
  <r>
    <s v="Romeo and Juliet"/>
    <x v="6"/>
    <x v="5"/>
    <x v="6"/>
    <n v="54"/>
    <x v="0"/>
    <n v="974"/>
    <n v="906"/>
    <s v="Seating Cat. 1"/>
    <s v="N.A."/>
    <n v="-2242"/>
  </r>
  <r>
    <s v="Romeo and Juliet"/>
    <x v="6"/>
    <x v="5"/>
    <x v="6"/>
    <n v="94"/>
    <x v="1"/>
    <n v="495"/>
    <n v="248"/>
    <s v="Seating Cat. 2"/>
    <s v="N.A."/>
    <n v="-2242"/>
  </r>
  <r>
    <s v="Romeo and Juliet"/>
    <x v="6"/>
    <x v="5"/>
    <x v="6"/>
    <n v="300"/>
    <x v="3"/>
    <n v="300"/>
    <n v="276"/>
    <s v="Ticket + Air travel Package"/>
    <s v="N.A."/>
    <n v="-2242"/>
  </r>
  <r>
    <s v="Romeo and Juliet"/>
    <x v="6"/>
    <x v="5"/>
    <x v="6"/>
    <n v="358"/>
    <x v="4"/>
    <n v="300"/>
    <n v="240"/>
    <s v="Ticket + Air travel + Hotel Package"/>
    <s v="N.A."/>
    <n v="-2242"/>
  </r>
  <r>
    <s v="Sing"/>
    <x v="9"/>
    <x v="56"/>
    <x v="2"/>
    <n v="36"/>
    <x v="7"/>
    <n v="10623"/>
    <n v="9136"/>
    <s v="General Admission (1 day)"/>
    <s v="N.A."/>
    <n v="-2289"/>
  </r>
  <r>
    <s v="Sing"/>
    <x v="9"/>
    <x v="56"/>
    <x v="2"/>
    <n v="52"/>
    <x v="0"/>
    <n v="1840"/>
    <n v="1546"/>
    <s v="Seating Cat. 1"/>
    <s v="N.A."/>
    <n v="-2289"/>
  </r>
  <r>
    <s v="Sing"/>
    <x v="9"/>
    <x v="56"/>
    <x v="2"/>
    <n v="89"/>
    <x v="1"/>
    <n v="650"/>
    <n v="540"/>
    <s v="Seating Cat. 2"/>
    <s v="N.A."/>
    <n v="-2289"/>
  </r>
  <r>
    <s v="Sing"/>
    <x v="9"/>
    <x v="56"/>
    <x v="2"/>
    <n v="277"/>
    <x v="3"/>
    <n v="200"/>
    <n v="128"/>
    <s v="Ticket + Air travel Package"/>
    <s v="N.A."/>
    <n v="-2289"/>
  </r>
  <r>
    <s v="Sing"/>
    <x v="9"/>
    <x v="56"/>
    <x v="2"/>
    <n v="336"/>
    <x v="4"/>
    <n v="400"/>
    <n v="296"/>
    <s v="Ticket + Air travel + Hotel Package"/>
    <s v="N.A."/>
    <n v="-2289"/>
  </r>
  <r>
    <s v="Sing"/>
    <x v="2"/>
    <x v="8"/>
    <x v="2"/>
    <n v="54"/>
    <x v="7"/>
    <n v="13177"/>
    <n v="12387"/>
    <s v="General Admission (1 day)"/>
    <s v="N.A."/>
    <n v="-2280"/>
  </r>
  <r>
    <s v="Sing"/>
    <x v="2"/>
    <x v="8"/>
    <x v="2"/>
    <n v="78"/>
    <x v="0"/>
    <n v="1500"/>
    <n v="1110"/>
    <s v="Seating Cat. 1"/>
    <s v="N.A."/>
    <n v="-2280"/>
  </r>
  <r>
    <s v="Sing"/>
    <x v="2"/>
    <x v="8"/>
    <x v="2"/>
    <n v="83"/>
    <x v="1"/>
    <n v="690"/>
    <n v="594"/>
    <s v="Seating Cat. 2"/>
    <s v="N.A."/>
    <n v="-2280"/>
  </r>
  <r>
    <s v="Sing"/>
    <x v="2"/>
    <x v="8"/>
    <x v="2"/>
    <n v="240"/>
    <x v="3"/>
    <n v="300"/>
    <n v="252"/>
    <s v="Ticket + Air travel Package"/>
    <s v="N.A."/>
    <n v="-2280"/>
  </r>
  <r>
    <s v="Sing"/>
    <x v="2"/>
    <x v="8"/>
    <x v="2"/>
    <n v="331"/>
    <x v="4"/>
    <n v="300"/>
    <n v="279"/>
    <s v="Ticket + Air travel + Hotel Package"/>
    <s v="N.A."/>
    <n v="-2280"/>
  </r>
  <r>
    <s v="Sing"/>
    <x v="0"/>
    <x v="21"/>
    <x v="2"/>
    <n v="41"/>
    <x v="7"/>
    <n v="6838"/>
    <n v="6086"/>
    <s v="General Admission (1 day)"/>
    <s v="N.A."/>
    <n v="-2277"/>
  </r>
  <r>
    <s v="Sing"/>
    <x v="0"/>
    <x v="21"/>
    <x v="2"/>
    <n v="70"/>
    <x v="0"/>
    <n v="680"/>
    <n v="470"/>
    <s v="Seating Cat. 1"/>
    <s v="N.A."/>
    <n v="-2277"/>
  </r>
  <r>
    <s v="Sing"/>
    <x v="0"/>
    <x v="21"/>
    <x v="2"/>
    <n v="76"/>
    <x v="1"/>
    <n v="350"/>
    <n v="315"/>
    <s v="Seating Cat. 2"/>
    <s v="N.A."/>
    <n v="-2277"/>
  </r>
  <r>
    <s v="Sing"/>
    <x v="0"/>
    <x v="21"/>
    <x v="2"/>
    <n v="273"/>
    <x v="3"/>
    <n v="300"/>
    <n v="264"/>
    <s v="Ticket + Air travel Package"/>
    <s v="N.A."/>
    <n v="-2277"/>
  </r>
  <r>
    <s v="Sing"/>
    <x v="0"/>
    <x v="21"/>
    <x v="2"/>
    <n v="375"/>
    <x v="4"/>
    <n v="200"/>
    <n v="146"/>
    <s v="Ticket + Air travel + Hotel Package"/>
    <s v="N.A."/>
    <n v="-2277"/>
  </r>
  <r>
    <s v="Sing"/>
    <x v="5"/>
    <x v="23"/>
    <x v="2"/>
    <n v="52"/>
    <x v="7"/>
    <n v="7126"/>
    <n v="4419"/>
    <s v="General Admission (1 day)"/>
    <s v="N.A."/>
    <n v="-2269"/>
  </r>
  <r>
    <s v="Sing"/>
    <x v="5"/>
    <x v="23"/>
    <x v="2"/>
    <n v="40"/>
    <x v="0"/>
    <n v="1500"/>
    <n v="1185"/>
    <s v="Seating Cat. 1"/>
    <s v="N.A."/>
    <n v="-2269"/>
  </r>
  <r>
    <s v="Sing"/>
    <x v="5"/>
    <x v="23"/>
    <x v="2"/>
    <n v="115"/>
    <x v="1"/>
    <n v="500"/>
    <n v="475"/>
    <s v="Seating Cat. 2"/>
    <s v="N.A."/>
    <n v="-2269"/>
  </r>
  <r>
    <s v="Sing"/>
    <x v="5"/>
    <x v="23"/>
    <x v="2"/>
    <n v="240"/>
    <x v="3"/>
    <n v="300"/>
    <n v="186"/>
    <s v="Ticket + Air travel Package"/>
    <s v="N.A."/>
    <n v="-2269"/>
  </r>
  <r>
    <s v="Sing"/>
    <x v="5"/>
    <x v="23"/>
    <x v="2"/>
    <n v="367"/>
    <x v="4"/>
    <n v="300"/>
    <n v="246"/>
    <s v="Ticket + Air travel + Hotel Package"/>
    <s v="N.A."/>
    <n v="-2269"/>
  </r>
  <r>
    <s v="Sing"/>
    <x v="6"/>
    <x v="57"/>
    <x v="2"/>
    <n v="48"/>
    <x v="7"/>
    <n v="10164"/>
    <n v="6810"/>
    <s v="General Admission (1 day)"/>
    <s v="N.A."/>
    <n v="-2242"/>
  </r>
  <r>
    <s v="Sing"/>
    <x v="6"/>
    <x v="57"/>
    <x v="2"/>
    <n v="45"/>
    <x v="0"/>
    <n v="760"/>
    <n v="487"/>
    <s v="Seating Cat. 1"/>
    <s v="N.A."/>
    <n v="-2242"/>
  </r>
  <r>
    <s v="Sing"/>
    <x v="6"/>
    <x v="57"/>
    <x v="2"/>
    <n v="85"/>
    <x v="1"/>
    <n v="500"/>
    <n v="415"/>
    <s v="Seating Cat. 2"/>
    <s v="N.A."/>
    <n v="-2242"/>
  </r>
  <r>
    <s v="Sing"/>
    <x v="6"/>
    <x v="57"/>
    <x v="2"/>
    <n v="271"/>
    <x v="3"/>
    <n v="200"/>
    <n v="104"/>
    <s v="Ticket + Air travel Package"/>
    <s v="N.A."/>
    <n v="-2242"/>
  </r>
  <r>
    <s v="Sing"/>
    <x v="6"/>
    <x v="57"/>
    <x v="2"/>
    <n v="330"/>
    <x v="4"/>
    <n v="300"/>
    <n v="168"/>
    <s v="Ticket + Air travel + Hotel Package"/>
    <s v="N.A."/>
    <n v="-2242"/>
  </r>
  <r>
    <s v="Soul in Berlin"/>
    <x v="9"/>
    <x v="58"/>
    <x v="3"/>
    <n v="41"/>
    <x v="7"/>
    <n v="75000"/>
    <n v="51750"/>
    <s v="General Admission (1 day)"/>
    <s v="N.A."/>
    <n v="-2286"/>
  </r>
  <r>
    <s v="Soul in Berlin"/>
    <x v="9"/>
    <x v="58"/>
    <x v="3"/>
    <n v="78"/>
    <x v="0"/>
    <n v="3500"/>
    <n v="3045"/>
    <s v="Seating Cat. 1"/>
    <s v="N.A."/>
    <n v="-2286"/>
  </r>
  <r>
    <s v="Soul in Berlin"/>
    <x v="9"/>
    <x v="58"/>
    <x v="3"/>
    <n v="59"/>
    <x v="1"/>
    <n v="1500"/>
    <n v="1410"/>
    <s v="Seating Cat. 2"/>
    <s v="N.A."/>
    <n v="-2286"/>
  </r>
  <r>
    <s v="Soul in Berlin"/>
    <x v="9"/>
    <x v="58"/>
    <x v="3"/>
    <n v="78"/>
    <x v="2"/>
    <n v="500"/>
    <n v="255"/>
    <s v="Seating Cat. 3"/>
    <s v="N.A."/>
    <n v="-2286"/>
  </r>
  <r>
    <s v="Soul in Berlin"/>
    <x v="9"/>
    <x v="58"/>
    <x v="3"/>
    <n v="182"/>
    <x v="3"/>
    <n v="300"/>
    <n v="201"/>
    <s v="Ticket + Air travel Package"/>
    <s v="N.A."/>
    <n v="-2286"/>
  </r>
  <r>
    <s v="Soul in Berlin"/>
    <x v="9"/>
    <x v="58"/>
    <x v="3"/>
    <n v="23"/>
    <x v="5"/>
    <n v="110"/>
    <n v="93"/>
    <s v="Seating-disabled"/>
    <s v="N.A."/>
    <n v="-2286"/>
  </r>
  <r>
    <s v="Soul in Berlin"/>
    <x v="9"/>
    <x v="58"/>
    <x v="3"/>
    <n v="377"/>
    <x v="4"/>
    <n v="200"/>
    <n v="118"/>
    <s v="Ticket + Air travel + Hotel Package"/>
    <s v="N.A."/>
    <n v="-2286"/>
  </r>
  <r>
    <s v="Soul in Berlin"/>
    <x v="9"/>
    <x v="59"/>
    <x v="3"/>
    <n v="47"/>
    <x v="7"/>
    <n v="75000"/>
    <n v="66000"/>
    <s v="General Admission (1 day)"/>
    <s v="N.A."/>
    <n v="-2281"/>
  </r>
  <r>
    <s v="Soul in Berlin"/>
    <x v="9"/>
    <x v="59"/>
    <x v="3"/>
    <n v="73"/>
    <x v="0"/>
    <n v="3600"/>
    <n v="2268"/>
    <s v="Seating Cat. 1"/>
    <s v="N.A."/>
    <n v="-2281"/>
  </r>
  <r>
    <s v="Soul in Berlin"/>
    <x v="9"/>
    <x v="59"/>
    <x v="3"/>
    <n v="79"/>
    <x v="1"/>
    <n v="1400"/>
    <n v="1148"/>
    <s v="Seating Cat. 2"/>
    <s v="N.A."/>
    <n v="-2281"/>
  </r>
  <r>
    <s v="Soul in Berlin"/>
    <x v="9"/>
    <x v="59"/>
    <x v="3"/>
    <n v="196"/>
    <x v="3"/>
    <n v="300"/>
    <n v="282"/>
    <s v="Ticket + Air travel Package"/>
    <s v="N.A."/>
    <n v="-2281"/>
  </r>
  <r>
    <s v="Soul in Berlin"/>
    <x v="9"/>
    <x v="59"/>
    <x v="3"/>
    <n v="20"/>
    <x v="5"/>
    <n v="81"/>
    <n v="46"/>
    <s v="Seating-disabled"/>
    <s v="N.A."/>
    <n v="-2281"/>
  </r>
  <r>
    <s v="Soul in Berlin"/>
    <x v="9"/>
    <x v="59"/>
    <x v="3"/>
    <n v="94"/>
    <x v="8"/>
    <n v="50000"/>
    <n v="28000"/>
    <s v="General Admission (2 days)"/>
    <s v="N.A."/>
    <n v="-2281"/>
  </r>
  <r>
    <s v="Soul in Berlin"/>
    <x v="9"/>
    <x v="59"/>
    <x v="3"/>
    <n v="334"/>
    <x v="4"/>
    <n v="200"/>
    <n v="132"/>
    <s v="Ticket + Air travel + Hotel Package"/>
    <s v="N.A."/>
    <n v="-2281"/>
  </r>
  <r>
    <s v="Soul in Berlin"/>
    <x v="9"/>
    <x v="3"/>
    <x v="3"/>
    <n v="47"/>
    <x v="7"/>
    <n v="50000"/>
    <n v="39000"/>
    <s v="General Admission (1 day)"/>
    <s v="N.A."/>
    <n v="-2275"/>
  </r>
  <r>
    <s v="Soul in Berlin"/>
    <x v="9"/>
    <x v="3"/>
    <x v="3"/>
    <n v="51"/>
    <x v="0"/>
    <n v="4500"/>
    <n v="4230"/>
    <s v="Seating Cat. 1"/>
    <s v="N.A."/>
    <n v="-2275"/>
  </r>
  <r>
    <s v="Soul in Berlin"/>
    <x v="9"/>
    <x v="3"/>
    <x v="3"/>
    <n v="117"/>
    <x v="1"/>
    <n v="400"/>
    <n v="352"/>
    <s v="Seating Cat. 2"/>
    <s v="N.A."/>
    <n v="-2275"/>
  </r>
  <r>
    <s v="Soul in Berlin"/>
    <x v="9"/>
    <x v="3"/>
    <x v="3"/>
    <n v="265"/>
    <x v="3"/>
    <n v="300"/>
    <n v="192"/>
    <s v="Ticket + Air travel Package"/>
    <s v="N.A."/>
    <n v="-2275"/>
  </r>
  <r>
    <s v="Soul in Berlin"/>
    <x v="9"/>
    <x v="3"/>
    <x v="3"/>
    <n v="24"/>
    <x v="5"/>
    <n v="107"/>
    <n v="61"/>
    <s v="Seating-disabled"/>
    <s v="N.A."/>
    <n v="-2275"/>
  </r>
  <r>
    <s v="Soul in Berlin"/>
    <x v="9"/>
    <x v="3"/>
    <x v="3"/>
    <n v="340"/>
    <x v="4"/>
    <n v="300"/>
    <n v="189"/>
    <s v="Ticket + Air travel + Hotel Package"/>
    <s v="N.A."/>
    <n v="-2275"/>
  </r>
  <r>
    <s v="Soul in Berlin"/>
    <x v="9"/>
    <x v="60"/>
    <x v="3"/>
    <n v="47"/>
    <x v="7"/>
    <n v="50000"/>
    <n v="44500"/>
    <s v="General Admission (1 day)"/>
    <s v="N.A."/>
    <n v="-2274"/>
  </r>
  <r>
    <s v="Soul in Berlin"/>
    <x v="9"/>
    <x v="60"/>
    <x v="3"/>
    <n v="61"/>
    <x v="0"/>
    <n v="4500"/>
    <n v="3690"/>
    <s v="Seating Cat. 1"/>
    <s v="N.A."/>
    <n v="-2274"/>
  </r>
  <r>
    <s v="Soul in Berlin"/>
    <x v="9"/>
    <x v="60"/>
    <x v="3"/>
    <n v="89"/>
    <x v="1"/>
    <n v="400"/>
    <n v="216"/>
    <s v="Seating Cat. 2"/>
    <s v="N.A."/>
    <n v="-2274"/>
  </r>
  <r>
    <s v="Soul in Berlin"/>
    <x v="9"/>
    <x v="60"/>
    <x v="3"/>
    <n v="247"/>
    <x v="3"/>
    <n v="200"/>
    <n v="156"/>
    <s v="Ticket + Air travel Package"/>
    <s v="N.A."/>
    <n v="-2274"/>
  </r>
  <r>
    <s v="Soul in Berlin"/>
    <x v="9"/>
    <x v="60"/>
    <x v="3"/>
    <n v="29"/>
    <x v="5"/>
    <n v="89"/>
    <n v="65"/>
    <s v="Seating-disabled"/>
    <s v="N.A."/>
    <n v="-2274"/>
  </r>
  <r>
    <s v="Soul in Berlin"/>
    <x v="9"/>
    <x v="60"/>
    <x v="3"/>
    <n v="371"/>
    <x v="4"/>
    <n v="300"/>
    <n v="183"/>
    <s v="Ticket + Air travel + Hotel Package"/>
    <s v="N.A."/>
    <n v="-2274"/>
  </r>
  <r>
    <s v="Soul in Berlin"/>
    <x v="9"/>
    <x v="20"/>
    <x v="3"/>
    <n v="47"/>
    <x v="7"/>
    <n v="50000"/>
    <n v="43000"/>
    <s v="General Admission (1 day)"/>
    <s v="N.A."/>
    <n v="-2267"/>
  </r>
  <r>
    <s v="Soul in Berlin"/>
    <x v="9"/>
    <x v="20"/>
    <x v="3"/>
    <n v="34"/>
    <x v="0"/>
    <n v="4500"/>
    <n v="3105"/>
    <s v="Seating Cat. 1"/>
    <s v="N.A."/>
    <n v="-2267"/>
  </r>
  <r>
    <s v="Soul in Berlin"/>
    <x v="9"/>
    <x v="20"/>
    <x v="3"/>
    <n v="97"/>
    <x v="1"/>
    <n v="400"/>
    <n v="236"/>
    <s v="Seating Cat. 2"/>
    <s v="N.A."/>
    <n v="-2267"/>
  </r>
  <r>
    <s v="Soul in Berlin"/>
    <x v="9"/>
    <x v="20"/>
    <x v="3"/>
    <n v="210"/>
    <x v="3"/>
    <n v="300"/>
    <n v="237"/>
    <s v="Ticket + Air travel Package"/>
    <s v="N.A."/>
    <n v="-2267"/>
  </r>
  <r>
    <s v="Soul in Berlin"/>
    <x v="9"/>
    <x v="20"/>
    <x v="3"/>
    <n v="31"/>
    <x v="5"/>
    <n v="69"/>
    <n v="38"/>
    <s v="Seating-disabled"/>
    <s v="N.A."/>
    <n v="-2267"/>
  </r>
  <r>
    <s v="Soul in Berlin"/>
    <x v="9"/>
    <x v="20"/>
    <x v="3"/>
    <n v="120"/>
    <x v="8"/>
    <n v="50000"/>
    <n v="43500"/>
    <s v="General Admission (2 days)"/>
    <s v="N.A."/>
    <n v="-2267"/>
  </r>
  <r>
    <s v="Soul in Berlin"/>
    <x v="9"/>
    <x v="20"/>
    <x v="3"/>
    <n v="364"/>
    <x v="4"/>
    <n v="200"/>
    <n v="108"/>
    <s v="Ticket + Air travel + Hotel Package"/>
    <s v="N.A."/>
    <n v="-2267"/>
  </r>
  <r>
    <s v="Soul in Berlin"/>
    <x v="9"/>
    <x v="61"/>
    <x v="3"/>
    <n v="47"/>
    <x v="7"/>
    <n v="50000"/>
    <n v="37000"/>
    <s v="General Admission (1 day)"/>
    <s v="N.A."/>
    <n v="-2249"/>
  </r>
  <r>
    <s v="Soul in Berlin"/>
    <x v="9"/>
    <x v="61"/>
    <x v="3"/>
    <n v="47"/>
    <x v="0"/>
    <n v="4500"/>
    <n v="3420"/>
    <s v="Seating Cat. 1"/>
    <s v="N.A."/>
    <n v="-2249"/>
  </r>
  <r>
    <s v="Soul in Berlin"/>
    <x v="9"/>
    <x v="61"/>
    <x v="3"/>
    <n v="85"/>
    <x v="1"/>
    <n v="400"/>
    <n v="244"/>
    <s v="Seating Cat. 2"/>
    <s v="N.A."/>
    <n v="-2249"/>
  </r>
  <r>
    <s v="Soul in Berlin"/>
    <x v="9"/>
    <x v="61"/>
    <x v="3"/>
    <n v="266"/>
    <x v="3"/>
    <n v="300"/>
    <n v="273"/>
    <s v="Ticket + Air travel Package"/>
    <s v="N.A."/>
    <n v="-2249"/>
  </r>
  <r>
    <s v="Soul in Berlin"/>
    <x v="9"/>
    <x v="61"/>
    <x v="3"/>
    <n v="34"/>
    <x v="5"/>
    <n v="90"/>
    <n v="61"/>
    <s v="Seating-disabled"/>
    <s v="N.A."/>
    <n v="-2249"/>
  </r>
  <r>
    <s v="Soul in Berlin"/>
    <x v="9"/>
    <x v="61"/>
    <x v="3"/>
    <n v="339"/>
    <x v="4"/>
    <n v="300"/>
    <n v="273"/>
    <s v="Ticket + Air travel + Hotel Package"/>
    <s v="N.A."/>
    <n v="-2249"/>
  </r>
  <r>
    <s v="Southern Lights Festival"/>
    <x v="1"/>
    <x v="6"/>
    <x v="3"/>
    <n v="50"/>
    <x v="7"/>
    <n v="60000"/>
    <n v="48000"/>
    <s v="General Admission (1 day)"/>
    <n v="0.1"/>
    <n v="-2287"/>
  </r>
  <r>
    <s v="Southern Lights Festival"/>
    <x v="1"/>
    <x v="6"/>
    <x v="3"/>
    <n v="38"/>
    <x v="0"/>
    <n v="2900"/>
    <n v="2610"/>
    <s v="Seating Cat. 1"/>
    <s v="N.A."/>
    <n v="-2287"/>
  </r>
  <r>
    <s v="Southern Lights Festival"/>
    <x v="1"/>
    <x v="6"/>
    <x v="3"/>
    <n v="250"/>
    <x v="3"/>
    <n v="300"/>
    <n v="162"/>
    <s v="Ticket + Air travel Package"/>
    <s v="N.A."/>
    <n v="-2287"/>
  </r>
  <r>
    <s v="Southern Lights Festival"/>
    <x v="1"/>
    <x v="6"/>
    <x v="3"/>
    <n v="313"/>
    <x v="4"/>
    <n v="200"/>
    <n v="110"/>
    <s v="Ticket + Air travel + Hotel Package"/>
    <s v="N.A."/>
    <n v="-2287"/>
  </r>
  <r>
    <s v="Southern Lights Festival"/>
    <x v="1"/>
    <x v="45"/>
    <x v="3"/>
    <n v="50"/>
    <x v="7"/>
    <n v="50000"/>
    <n v="32000"/>
    <s v="General Admission (1 day)"/>
    <n v="0.1"/>
    <n v="-2284"/>
  </r>
  <r>
    <s v="Southern Lights Festival"/>
    <x v="1"/>
    <x v="45"/>
    <x v="3"/>
    <n v="48"/>
    <x v="0"/>
    <n v="2900"/>
    <n v="2001"/>
    <s v="Seating Cat. 1"/>
    <s v="N.A."/>
    <n v="-2284"/>
  </r>
  <r>
    <s v="Southern Lights Festival"/>
    <x v="1"/>
    <x v="45"/>
    <x v="3"/>
    <n v="206"/>
    <x v="3"/>
    <n v="300"/>
    <n v="276"/>
    <s v="Ticket + Air travel Package"/>
    <s v="N.A."/>
    <n v="-2284"/>
  </r>
  <r>
    <s v="Southern Lights Festival"/>
    <x v="1"/>
    <x v="45"/>
    <x v="3"/>
    <n v="397"/>
    <x v="4"/>
    <n v="300"/>
    <n v="231"/>
    <s v="Ticket + Air travel + Hotel Package"/>
    <s v="N.A."/>
    <n v="-2284"/>
  </r>
  <r>
    <s v="Southern Lights Festival"/>
    <x v="6"/>
    <x v="8"/>
    <x v="3"/>
    <n v="50"/>
    <x v="7"/>
    <n v="60000"/>
    <n v="50400"/>
    <s v="General Admission (1 day)"/>
    <n v="0.1"/>
    <n v="-2280"/>
  </r>
  <r>
    <s v="Southern Lights Festival"/>
    <x v="6"/>
    <x v="8"/>
    <x v="3"/>
    <n v="66"/>
    <x v="0"/>
    <n v="3420"/>
    <n v="2634"/>
    <s v="Seating Cat. 1"/>
    <s v="N.A."/>
    <n v="-2280"/>
  </r>
  <r>
    <s v="Southern Lights Festival"/>
    <x v="6"/>
    <x v="8"/>
    <x v="3"/>
    <n v="257"/>
    <x v="3"/>
    <n v="300"/>
    <n v="219"/>
    <s v="Ticket + Air travel Package"/>
    <s v="N.A."/>
    <n v="-2280"/>
  </r>
  <r>
    <s v="Southern Lights Festival"/>
    <x v="6"/>
    <x v="8"/>
    <x v="3"/>
    <n v="316"/>
    <x v="4"/>
    <n v="300"/>
    <n v="189"/>
    <s v="Ticket + Air travel + Hotel Package"/>
    <s v="N.A."/>
    <n v="-2280"/>
  </r>
  <r>
    <s v="Southern Lights Festival"/>
    <x v="4"/>
    <x v="62"/>
    <x v="3"/>
    <n v="50"/>
    <x v="7"/>
    <n v="50000"/>
    <n v="31000"/>
    <s v="General Admission (1 day)"/>
    <n v="0.1"/>
    <n v="-2262"/>
  </r>
  <r>
    <s v="Southern Lights Festival"/>
    <x v="4"/>
    <x v="62"/>
    <x v="3"/>
    <n v="58"/>
    <x v="0"/>
    <n v="3100"/>
    <n v="1581"/>
    <s v="Seating Cat. 1"/>
    <s v="N.A."/>
    <n v="-2262"/>
  </r>
  <r>
    <s v="Southern Lights Festival"/>
    <x v="4"/>
    <x v="62"/>
    <x v="3"/>
    <n v="275"/>
    <x v="3"/>
    <n v="300"/>
    <n v="279"/>
    <s v="Ticket + Air travel Package"/>
    <s v="N.A."/>
    <n v="-2262"/>
  </r>
  <r>
    <s v="Southern Lights Festival"/>
    <x v="4"/>
    <x v="62"/>
    <x v="3"/>
    <n v="366"/>
    <x v="4"/>
    <n v="200"/>
    <n v="156"/>
    <s v="Ticket + Air travel + Hotel Package"/>
    <s v="N.A."/>
    <n v="-2262"/>
  </r>
  <r>
    <s v="Southern Lights Festival"/>
    <x v="9"/>
    <x v="48"/>
    <x v="3"/>
    <n v="50"/>
    <x v="7"/>
    <n v="50000"/>
    <n v="38000"/>
    <s v="General Admission (1 day)"/>
    <n v="0.1"/>
    <n v="-2260"/>
  </r>
  <r>
    <s v="Southern Lights Festival"/>
    <x v="9"/>
    <x v="48"/>
    <x v="3"/>
    <n v="60"/>
    <x v="0"/>
    <n v="2480"/>
    <n v="2158"/>
    <s v="Seating Cat. 1"/>
    <s v="N.A."/>
    <n v="-2260"/>
  </r>
  <r>
    <s v="Southern Lights Festival"/>
    <x v="9"/>
    <x v="48"/>
    <x v="3"/>
    <n v="220"/>
    <x v="3"/>
    <n v="300"/>
    <n v="249"/>
    <s v="Ticket + Air travel Package"/>
    <s v="N.A."/>
    <n v="-2260"/>
  </r>
  <r>
    <s v="Southern Lights Festival"/>
    <x v="9"/>
    <x v="48"/>
    <x v="3"/>
    <n v="376"/>
    <x v="4"/>
    <n v="300"/>
    <n v="192"/>
    <s v="Ticket + Air travel + Hotel Package"/>
    <s v="N.A."/>
    <n v="-2260"/>
  </r>
  <r>
    <s v="Summer Fest"/>
    <x v="6"/>
    <x v="63"/>
    <x v="3"/>
    <n v="52"/>
    <x v="7"/>
    <n v="60000"/>
    <n v="33600"/>
    <s v="General Admission (1 day)"/>
    <s v="N.A."/>
    <n v="-2305"/>
  </r>
  <r>
    <s v="Summer Fest"/>
    <x v="6"/>
    <x v="63"/>
    <x v="3"/>
    <n v="141"/>
    <x v="9"/>
    <n v="50000"/>
    <n v="34500"/>
    <s v="General Admission (season ticket)"/>
    <s v="N.A."/>
    <n v="-2305"/>
  </r>
  <r>
    <s v="Summer Fest"/>
    <x v="6"/>
    <x v="64"/>
    <x v="3"/>
    <n v="52"/>
    <x v="7"/>
    <n v="60000"/>
    <n v="45000"/>
    <s v="General Admission (1 day)"/>
    <s v="N.A."/>
    <n v="-2293"/>
  </r>
  <r>
    <s v="Summer Fest"/>
    <x v="6"/>
    <x v="59"/>
    <x v="3"/>
    <n v="52"/>
    <x v="7"/>
    <n v="50000"/>
    <n v="46500"/>
    <s v="General Admission (1 day)"/>
    <s v="N.A."/>
    <n v="-2281"/>
  </r>
  <r>
    <s v="Summer Fest"/>
    <x v="6"/>
    <x v="24"/>
    <x v="3"/>
    <n v="52"/>
    <x v="7"/>
    <n v="50000"/>
    <n v="37000"/>
    <s v="General Admission (1 day)"/>
    <s v="N.A."/>
    <n v="-2268"/>
  </r>
  <r>
    <s v="Summer Fest"/>
    <x v="6"/>
    <x v="20"/>
    <x v="3"/>
    <n v="52"/>
    <x v="7"/>
    <n v="50000"/>
    <n v="41000"/>
    <s v="General Admission (1 day)"/>
    <s v="N.A."/>
    <n v="-2267"/>
  </r>
  <r>
    <s v="Summer Fest"/>
    <x v="6"/>
    <x v="25"/>
    <x v="3"/>
    <n v="52"/>
    <x v="7"/>
    <n v="60000"/>
    <n v="34800"/>
    <s v="General Admission (1 day)"/>
    <s v="N.A."/>
    <n v="-2266"/>
  </r>
  <r>
    <s v="Summer Fest"/>
    <x v="6"/>
    <x v="15"/>
    <x v="3"/>
    <n v="52"/>
    <x v="7"/>
    <n v="50000"/>
    <n v="37500"/>
    <s v="General Admission (1 day)"/>
    <s v="N.A."/>
    <n v="-2263"/>
  </r>
  <r>
    <s v="Summer Fest"/>
    <x v="6"/>
    <x v="65"/>
    <x v="3"/>
    <n v="52"/>
    <x v="7"/>
    <n v="60000"/>
    <n v="51000"/>
    <s v="General Admission (1 day)"/>
    <s v="N.A."/>
    <n v="-2257"/>
  </r>
  <r>
    <s v="Summer Fest"/>
    <x v="6"/>
    <x v="37"/>
    <x v="3"/>
    <n v="52"/>
    <x v="7"/>
    <n v="50000"/>
    <n v="26500"/>
    <s v="General Admission (1 day)"/>
    <s v="N.A."/>
    <n v="-2243"/>
  </r>
  <r>
    <s v="Tom Jovi"/>
    <x v="2"/>
    <x v="66"/>
    <x v="2"/>
    <n v="52"/>
    <x v="7"/>
    <n v="13865"/>
    <n v="8181"/>
    <s v="General Admission (1 day)"/>
    <s v="N.A."/>
    <n v="-2271"/>
  </r>
  <r>
    <s v="Tom Jovi"/>
    <x v="2"/>
    <x v="66"/>
    <x v="2"/>
    <n v="73"/>
    <x v="0"/>
    <n v="1541"/>
    <n v="1372"/>
    <s v="Seating Cat. 1"/>
    <s v="N.A."/>
    <n v="-2271"/>
  </r>
  <r>
    <s v="Tom Jovi"/>
    <x v="2"/>
    <x v="66"/>
    <x v="2"/>
    <n v="83"/>
    <x v="1"/>
    <n v="350"/>
    <n v="312"/>
    <s v="Seating Cat. 2"/>
    <s v="N.A."/>
    <n v="-2271"/>
  </r>
  <r>
    <s v="Tom Jovi"/>
    <x v="2"/>
    <x v="66"/>
    <x v="2"/>
    <n v="275"/>
    <x v="3"/>
    <n v="300"/>
    <n v="264"/>
    <s v="Ticket + Air travel Package"/>
    <s v="N.A."/>
    <n v="-2271"/>
  </r>
  <r>
    <s v="Tom Jovi"/>
    <x v="2"/>
    <x v="66"/>
    <x v="2"/>
    <n v="388"/>
    <x v="4"/>
    <n v="200"/>
    <n v="138"/>
    <s v="Ticket + Air travel + Hotel Package"/>
    <s v="N.A."/>
    <n v="-2271"/>
  </r>
  <r>
    <s v="Tom Jovi"/>
    <x v="8"/>
    <x v="23"/>
    <x v="2"/>
    <n v="60"/>
    <x v="7"/>
    <n v="8120"/>
    <n v="5197"/>
    <s v="General Admission (1 day)"/>
    <s v="N.A."/>
    <n v="-2269"/>
  </r>
  <r>
    <s v="Tom Jovi"/>
    <x v="8"/>
    <x v="23"/>
    <x v="2"/>
    <n v="70"/>
    <x v="0"/>
    <n v="642"/>
    <n v="431"/>
    <s v="Seating Cat. 1"/>
    <s v="N.A."/>
    <n v="-2269"/>
  </r>
  <r>
    <s v="Tom Jovi"/>
    <x v="8"/>
    <x v="23"/>
    <x v="2"/>
    <n v="102"/>
    <x v="1"/>
    <n v="450"/>
    <n v="306"/>
    <s v="Seating Cat. 2"/>
    <s v="N.A."/>
    <n v="-2269"/>
  </r>
  <r>
    <s v="Tom Jovi"/>
    <x v="8"/>
    <x v="23"/>
    <x v="2"/>
    <n v="270"/>
    <x v="3"/>
    <n v="300"/>
    <n v="207"/>
    <s v="Ticket + Air travel Package"/>
    <s v="N.A."/>
    <n v="-2269"/>
  </r>
  <r>
    <s v="Tom Jovi"/>
    <x v="8"/>
    <x v="23"/>
    <x v="2"/>
    <n v="303"/>
    <x v="4"/>
    <n v="200"/>
    <n v="104"/>
    <s v="Ticket + Air travel + Hotel Package"/>
    <s v="N.A."/>
    <n v="-2269"/>
  </r>
  <r>
    <s v="Tom Jovi"/>
    <x v="5"/>
    <x v="19"/>
    <x v="2"/>
    <n v="55"/>
    <x v="7"/>
    <n v="13668"/>
    <n v="6834"/>
    <s v="General Admission (1 day)"/>
    <s v="N.A."/>
    <n v="-2267"/>
  </r>
  <r>
    <s v="Tom Jovi"/>
    <x v="5"/>
    <x v="19"/>
    <x v="2"/>
    <n v="38"/>
    <x v="0"/>
    <n v="1200"/>
    <n v="720"/>
    <s v="Seating Cat. 1"/>
    <s v="N.A."/>
    <n v="-2267"/>
  </r>
  <r>
    <s v="Tom Jovi"/>
    <x v="5"/>
    <x v="19"/>
    <x v="2"/>
    <n v="72"/>
    <x v="1"/>
    <n v="300"/>
    <n v="246"/>
    <s v="Seating Cat. 2"/>
    <s v="N.A."/>
    <n v="-2267"/>
  </r>
  <r>
    <s v="Tom Jovi"/>
    <x v="5"/>
    <x v="19"/>
    <x v="2"/>
    <n v="300"/>
    <x v="3"/>
    <n v="300"/>
    <n v="285"/>
    <s v="Ticket + Air travel Package"/>
    <s v="N.A."/>
    <n v="-2267"/>
  </r>
  <r>
    <s v="Tom Jovi"/>
    <x v="5"/>
    <x v="19"/>
    <x v="2"/>
    <n v="321"/>
    <x v="4"/>
    <n v="300"/>
    <n v="285"/>
    <s v="Ticket + Air travel + Hotel Package"/>
    <s v="N.A."/>
    <n v="-2267"/>
  </r>
  <r>
    <s v="Tom Jovi"/>
    <x v="9"/>
    <x v="20"/>
    <x v="2"/>
    <n v="45"/>
    <x v="7"/>
    <n v="8819"/>
    <n v="7144"/>
    <s v="General Admission (1 day)"/>
    <s v="N.A."/>
    <n v="-2267"/>
  </r>
  <r>
    <s v="Tom Jovi"/>
    <x v="9"/>
    <x v="20"/>
    <x v="2"/>
    <n v="74"/>
    <x v="0"/>
    <n v="742"/>
    <n v="490"/>
    <s v="Seating Cat. 1"/>
    <s v="N.A."/>
    <n v="-2267"/>
  </r>
  <r>
    <s v="Tom Jovi"/>
    <x v="9"/>
    <x v="20"/>
    <x v="2"/>
    <n v="95"/>
    <x v="1"/>
    <n v="342"/>
    <n v="206"/>
    <s v="Seating Cat. 2"/>
    <s v="N.A."/>
    <n v="-2267"/>
  </r>
  <r>
    <s v="Tom Jovi"/>
    <x v="9"/>
    <x v="20"/>
    <x v="2"/>
    <n v="186"/>
    <x v="3"/>
    <n v="300"/>
    <n v="150"/>
    <s v="Ticket + Air travel Package"/>
    <s v="N.A."/>
    <n v="-2267"/>
  </r>
  <r>
    <s v="Tom Jovi"/>
    <x v="9"/>
    <x v="20"/>
    <x v="2"/>
    <n v="306"/>
    <x v="4"/>
    <n v="300"/>
    <n v="201"/>
    <s v="Ticket + Air travel + Hotel Package"/>
    <s v="N.A."/>
    <n v="-2267"/>
  </r>
  <r>
    <s v="Tom Jovi"/>
    <x v="0"/>
    <x v="5"/>
    <x v="2"/>
    <n v="45"/>
    <x v="7"/>
    <n v="11662"/>
    <n v="10263"/>
    <s v="General Admission (1 day)"/>
    <s v="N.A."/>
    <n v="-2242"/>
  </r>
  <r>
    <s v="Tom Jovi"/>
    <x v="0"/>
    <x v="5"/>
    <x v="2"/>
    <n v="50"/>
    <x v="0"/>
    <n v="682"/>
    <n v="601"/>
    <s v="Seating Cat. 1"/>
    <n v="0.1"/>
    <n v="-2242"/>
  </r>
  <r>
    <s v="Tom Jovi"/>
    <x v="0"/>
    <x v="5"/>
    <x v="2"/>
    <n v="100"/>
    <x v="1"/>
    <n v="196"/>
    <n v="175"/>
    <s v="Seating Cat. 2"/>
    <n v="0.15"/>
    <n v="-2242"/>
  </r>
  <r>
    <s v="Tom Jovi"/>
    <x v="0"/>
    <x v="5"/>
    <x v="2"/>
    <n v="200"/>
    <x v="3"/>
    <n v="400"/>
    <n v="260"/>
    <s v="Ticket + Air travel Package"/>
    <n v="0.25"/>
    <n v="-2242"/>
  </r>
  <r>
    <s v="Tom Jovi"/>
    <x v="0"/>
    <x v="5"/>
    <x v="2"/>
    <n v="336"/>
    <x v="4"/>
    <n v="200"/>
    <n v="186"/>
    <s v="Ticket + Air travel + Hotel Package"/>
    <s v="N.A."/>
    <n v="-2242"/>
  </r>
  <r>
    <s v="Tosca"/>
    <x v="4"/>
    <x v="0"/>
    <x v="0"/>
    <n v="35"/>
    <x v="0"/>
    <n v="990"/>
    <n v="812"/>
    <s v="Seating Cat. 1"/>
    <s v="N.A."/>
    <n v="-2298"/>
  </r>
  <r>
    <s v="Tosca"/>
    <x v="4"/>
    <x v="0"/>
    <x v="0"/>
    <n v="83"/>
    <x v="1"/>
    <n v="548"/>
    <n v="335"/>
    <s v="Seating Cat. 2"/>
    <s v="N.A."/>
    <n v="-2298"/>
  </r>
  <r>
    <s v="Tosca"/>
    <x v="4"/>
    <x v="0"/>
    <x v="0"/>
    <n v="110"/>
    <x v="2"/>
    <n v="320"/>
    <n v="180"/>
    <s v="Seating Cat. 3"/>
    <s v="N.A."/>
    <n v="-2298"/>
  </r>
  <r>
    <s v="Tosca"/>
    <x v="4"/>
    <x v="0"/>
    <x v="0"/>
    <n v="247"/>
    <x v="3"/>
    <n v="300"/>
    <n v="204"/>
    <s v="Ticket + Air travel Package"/>
    <s v="N.A."/>
    <n v="-2298"/>
  </r>
  <r>
    <s v="Tosca"/>
    <x v="4"/>
    <x v="0"/>
    <x v="0"/>
    <n v="24"/>
    <x v="6"/>
    <n v="70"/>
    <n v="55"/>
    <s v="Parking place"/>
    <s v="N.A."/>
    <n v="-2298"/>
  </r>
  <r>
    <s v="Tosca"/>
    <x v="4"/>
    <x v="0"/>
    <x v="0"/>
    <n v="362"/>
    <x v="4"/>
    <n v="200"/>
    <n v="124"/>
    <s v="Ticket + Air travel + Hotel Package"/>
    <s v="N.A."/>
    <n v="-2298"/>
  </r>
  <r>
    <s v="Tosca"/>
    <x v="5"/>
    <x v="48"/>
    <x v="0"/>
    <n v="74"/>
    <x v="0"/>
    <n v="1430"/>
    <n v="959"/>
    <s v="Seating Cat. 1"/>
    <s v="N.A."/>
    <n v="-2260"/>
  </r>
  <r>
    <s v="Tosca"/>
    <x v="5"/>
    <x v="48"/>
    <x v="0"/>
    <n v="93"/>
    <x v="1"/>
    <n v="658"/>
    <n v="474"/>
    <s v="Seating Cat. 2"/>
    <s v="N.A."/>
    <n v="-2260"/>
  </r>
  <r>
    <s v="Tosca"/>
    <x v="5"/>
    <x v="48"/>
    <x v="0"/>
    <n v="152"/>
    <x v="2"/>
    <n v="320"/>
    <n v="292"/>
    <s v="Seating Cat. 3"/>
    <s v="N.A."/>
    <n v="-2260"/>
  </r>
  <r>
    <s v="Tosca"/>
    <x v="5"/>
    <x v="48"/>
    <x v="0"/>
    <n v="235"/>
    <x v="3"/>
    <n v="300"/>
    <n v="255"/>
    <s v="Ticket + Air travel Package"/>
    <s v="N.A."/>
    <n v="-2260"/>
  </r>
  <r>
    <s v="Tosca"/>
    <x v="5"/>
    <x v="48"/>
    <x v="0"/>
    <n v="18"/>
    <x v="6"/>
    <n v="150"/>
    <n v="92"/>
    <s v="Parking place"/>
    <s v="N.A."/>
    <n v="-2260"/>
  </r>
  <r>
    <s v="Tosca"/>
    <x v="5"/>
    <x v="48"/>
    <x v="0"/>
    <n v="345"/>
    <x v="4"/>
    <n v="400"/>
    <n v="212"/>
    <s v="Ticket + Air travel + Hotel Package"/>
    <s v="N.A."/>
    <n v="-2260"/>
  </r>
  <r>
    <s v="Tosca"/>
    <x v="12"/>
    <x v="5"/>
    <x v="0"/>
    <n v="34"/>
    <x v="0"/>
    <n v="1260"/>
    <n v="719"/>
    <s v="Seating Cat. 1"/>
    <s v="N.A."/>
    <n v="-2242"/>
  </r>
  <r>
    <s v="Tosca"/>
    <x v="12"/>
    <x v="5"/>
    <x v="0"/>
    <n v="97"/>
    <x v="1"/>
    <n v="682"/>
    <n v="505"/>
    <s v="Seating Cat. 2"/>
    <s v="N.A."/>
    <n v="-2242"/>
  </r>
  <r>
    <s v="Tosca"/>
    <x v="12"/>
    <x v="5"/>
    <x v="0"/>
    <n v="130"/>
    <x v="2"/>
    <n v="422"/>
    <n v="292"/>
    <s v="Seating Cat. 3"/>
    <s v="N.A."/>
    <n v="-2242"/>
  </r>
  <r>
    <s v="Tosca"/>
    <x v="12"/>
    <x v="5"/>
    <x v="0"/>
    <n v="294"/>
    <x v="3"/>
    <n v="300"/>
    <n v="153"/>
    <s v="Ticket + Air travel Package"/>
    <s v="N.A."/>
    <n v="-2242"/>
  </r>
  <r>
    <s v="Tosca"/>
    <x v="12"/>
    <x v="5"/>
    <x v="0"/>
    <n v="26"/>
    <x v="6"/>
    <n v="150"/>
    <n v="107"/>
    <s v="Parking place"/>
    <s v="N.A."/>
    <n v="-2242"/>
  </r>
  <r>
    <s v="Tosca"/>
    <x v="12"/>
    <x v="5"/>
    <x v="0"/>
    <n v="354"/>
    <x v="4"/>
    <n v="400"/>
    <n v="272"/>
    <s v="Ticket + Air travel + Hotel Package"/>
    <s v="N.A."/>
    <n v="-2242"/>
  </r>
  <r>
    <s v="Turandot"/>
    <x v="11"/>
    <x v="67"/>
    <x v="0"/>
    <n v="35"/>
    <x v="0"/>
    <n v="940"/>
    <n v="527"/>
    <s v="Seating Cat. 1"/>
    <s v="N.A."/>
    <n v="-2279"/>
  </r>
  <r>
    <s v="Turandot"/>
    <x v="11"/>
    <x v="67"/>
    <x v="0"/>
    <n v="97"/>
    <x v="1"/>
    <n v="360"/>
    <n v="270"/>
    <s v="Seating Cat. 2"/>
    <s v="N.A."/>
    <n v="-2279"/>
  </r>
  <r>
    <s v="Turandot"/>
    <x v="11"/>
    <x v="67"/>
    <x v="0"/>
    <n v="152"/>
    <x v="2"/>
    <n v="250"/>
    <n v="175"/>
    <s v="Seating Cat. 3"/>
    <s v="N.A."/>
    <n v="-2279"/>
  </r>
  <r>
    <s v="Turandot"/>
    <x v="11"/>
    <x v="67"/>
    <x v="0"/>
    <n v="272"/>
    <x v="3"/>
    <n v="300"/>
    <n v="195"/>
    <s v="Ticket + Air travel Package"/>
    <s v="N.A."/>
    <n v="-2279"/>
  </r>
  <r>
    <s v="Turandot"/>
    <x v="11"/>
    <x v="67"/>
    <x v="0"/>
    <n v="17"/>
    <x v="6"/>
    <n v="100"/>
    <n v="90"/>
    <s v="Parking place"/>
    <s v="N.A."/>
    <n v="-2279"/>
  </r>
  <r>
    <s v="Turandot"/>
    <x v="11"/>
    <x v="67"/>
    <x v="0"/>
    <n v="342"/>
    <x v="4"/>
    <n v="300"/>
    <n v="285"/>
    <s v="Ticket + Air travel + Hotel Package"/>
    <s v="N.A."/>
    <n v="-2279"/>
  </r>
  <r>
    <s v="Turandot"/>
    <x v="0"/>
    <x v="61"/>
    <x v="0"/>
    <n v="61"/>
    <x v="0"/>
    <n v="3000"/>
    <n v="1950"/>
    <s v="Seating Cat. 1"/>
    <s v="N.A."/>
    <n v="-2249"/>
  </r>
  <r>
    <s v="Turandot"/>
    <x v="0"/>
    <x v="61"/>
    <x v="0"/>
    <n v="106"/>
    <x v="1"/>
    <n v="1000"/>
    <n v="500"/>
    <s v="Seating Cat. 2"/>
    <s v="N.A."/>
    <n v="-2249"/>
  </r>
  <r>
    <s v="Turandot"/>
    <x v="0"/>
    <x v="61"/>
    <x v="0"/>
    <n v="161"/>
    <x v="2"/>
    <n v="500"/>
    <n v="270"/>
    <s v="Seating Cat. 3"/>
    <s v="N.A."/>
    <n v="-2249"/>
  </r>
  <r>
    <s v="Turandot"/>
    <x v="0"/>
    <x v="61"/>
    <x v="0"/>
    <n v="238"/>
    <x v="3"/>
    <n v="400"/>
    <n v="332"/>
    <s v="Ticket + Air travel Package"/>
    <s v="N.A."/>
    <n v="-2249"/>
  </r>
  <r>
    <s v="Turandot"/>
    <x v="0"/>
    <x v="61"/>
    <x v="0"/>
    <n v="10"/>
    <x v="6"/>
    <n v="45"/>
    <n v="38"/>
    <s v="Parking place"/>
    <s v="N.A."/>
    <n v="-2249"/>
  </r>
  <r>
    <s v="Turandot"/>
    <x v="0"/>
    <x v="61"/>
    <x v="0"/>
    <n v="391"/>
    <x v="4"/>
    <n v="300"/>
    <n v="201"/>
    <s v="Ticket + Air travel + Hotel Package"/>
    <s v="N.A."/>
    <n v="-2249"/>
  </r>
  <r>
    <s v="Turandot"/>
    <x v="6"/>
    <x v="12"/>
    <x v="0"/>
    <n v="48"/>
    <x v="0"/>
    <n v="2000"/>
    <n v="1720"/>
    <s v="Seating Cat. 1"/>
    <s v="N.A."/>
    <n v="-2247"/>
  </r>
  <r>
    <s v="Turandot"/>
    <x v="6"/>
    <x v="12"/>
    <x v="0"/>
    <n v="72"/>
    <x v="1"/>
    <n v="400"/>
    <n v="272"/>
    <s v="Seating Cat. 2"/>
    <s v="N.A."/>
    <n v="-2247"/>
  </r>
  <r>
    <s v="Turandot"/>
    <x v="6"/>
    <x v="12"/>
    <x v="0"/>
    <n v="193"/>
    <x v="2"/>
    <n v="250"/>
    <n v="213"/>
    <s v="Seating Cat. 3"/>
    <s v="N.A."/>
    <n v="-2247"/>
  </r>
  <r>
    <s v="Turandot"/>
    <x v="6"/>
    <x v="12"/>
    <x v="0"/>
    <n v="269"/>
    <x v="3"/>
    <n v="400"/>
    <n v="328"/>
    <s v="Ticket + Air travel Package"/>
    <s v="N.A."/>
    <n v="-2247"/>
  </r>
  <r>
    <s v="Turandot"/>
    <x v="6"/>
    <x v="12"/>
    <x v="0"/>
    <n v="32"/>
    <x v="6"/>
    <n v="50"/>
    <n v="32"/>
    <s v="Parking place"/>
    <s v="N.A."/>
    <n v="-2247"/>
  </r>
  <r>
    <s v="Turandot"/>
    <x v="6"/>
    <x v="12"/>
    <x v="0"/>
    <n v="350"/>
    <x v="4"/>
    <n v="200"/>
    <n v="182"/>
    <s v="Ticket + Air travel + Hotel Package"/>
    <s v="N.A."/>
    <n v="-2247"/>
  </r>
  <r>
    <s v="We will roll you"/>
    <x v="1"/>
    <x v="68"/>
    <x v="1"/>
    <n v="76"/>
    <x v="0"/>
    <n v="790"/>
    <n v="443"/>
    <s v="Seating Cat. 1"/>
    <s v="N.A."/>
    <n v="-2302"/>
  </r>
  <r>
    <s v="We will roll you"/>
    <x v="1"/>
    <x v="68"/>
    <x v="1"/>
    <n v="74"/>
    <x v="1"/>
    <n v="450"/>
    <n v="284"/>
    <s v="Seating Cat. 2"/>
    <s v="N.A."/>
    <n v="-2302"/>
  </r>
  <r>
    <s v="We will roll you"/>
    <x v="1"/>
    <x v="68"/>
    <x v="1"/>
    <n v="118"/>
    <x v="2"/>
    <n v="280"/>
    <n v="210"/>
    <s v="Seating Cat. 3"/>
    <s v="N.A."/>
    <n v="-2302"/>
  </r>
  <r>
    <s v="We will roll you"/>
    <x v="1"/>
    <x v="68"/>
    <x v="1"/>
    <n v="277"/>
    <x v="3"/>
    <n v="300"/>
    <n v="258"/>
    <s v="Ticket + Air travel Package"/>
    <s v="N.A."/>
    <n v="-2302"/>
  </r>
  <r>
    <s v="We will roll you"/>
    <x v="1"/>
    <x v="68"/>
    <x v="1"/>
    <n v="331"/>
    <x v="4"/>
    <n v="300"/>
    <n v="192"/>
    <s v="Ticket + Air travel + Hotel Package"/>
    <s v="N.A."/>
    <n v="-2302"/>
  </r>
  <r>
    <s v="We will roll you"/>
    <x v="7"/>
    <x v="42"/>
    <x v="1"/>
    <n v="61"/>
    <x v="0"/>
    <n v="780"/>
    <n v="484"/>
    <s v="Seating Cat. 1"/>
    <s v="N.A."/>
    <n v="-2300"/>
  </r>
  <r>
    <s v="We will roll you"/>
    <x v="7"/>
    <x v="42"/>
    <x v="1"/>
    <n v="104"/>
    <x v="1"/>
    <n v="652"/>
    <n v="535"/>
    <s v="Seating Cat. 2"/>
    <s v="N.A."/>
    <n v="-2300"/>
  </r>
  <r>
    <s v="We will roll you"/>
    <x v="7"/>
    <x v="42"/>
    <x v="1"/>
    <n v="185"/>
    <x v="2"/>
    <n v="345"/>
    <n v="287"/>
    <s v="Seating Cat. 3"/>
    <s v="N.A."/>
    <n v="-2300"/>
  </r>
  <r>
    <s v="We will roll you"/>
    <x v="7"/>
    <x v="42"/>
    <x v="1"/>
    <n v="231"/>
    <x v="3"/>
    <n v="400"/>
    <n v="236"/>
    <s v="Ticket + Air travel Package"/>
    <s v="N.A."/>
    <n v="-2300"/>
  </r>
  <r>
    <s v="We will roll you"/>
    <x v="7"/>
    <x v="42"/>
    <x v="1"/>
    <n v="353"/>
    <x v="4"/>
    <n v="300"/>
    <n v="249"/>
    <s v="Ticket + Air travel + Hotel Package"/>
    <s v="N.A."/>
    <n v="-2300"/>
  </r>
  <r>
    <s v="We will roll you"/>
    <x v="1"/>
    <x v="44"/>
    <x v="1"/>
    <n v="37"/>
    <x v="0"/>
    <n v="990"/>
    <n v="565"/>
    <s v="Seating Cat. 1"/>
    <s v="N.A."/>
    <n v="-2290"/>
  </r>
  <r>
    <s v="We will roll you"/>
    <x v="1"/>
    <x v="44"/>
    <x v="1"/>
    <n v="90"/>
    <x v="1"/>
    <n v="500"/>
    <n v="280"/>
    <s v="Seating Cat. 2"/>
    <s v="N.A."/>
    <n v="-2290"/>
  </r>
  <r>
    <s v="We will roll you"/>
    <x v="1"/>
    <x v="44"/>
    <x v="1"/>
    <n v="184"/>
    <x v="2"/>
    <n v="200"/>
    <n v="102"/>
    <s v="Seating Cat. 3"/>
    <s v="N.A."/>
    <n v="-2290"/>
  </r>
  <r>
    <s v="We will roll you"/>
    <x v="1"/>
    <x v="44"/>
    <x v="1"/>
    <n v="283"/>
    <x v="3"/>
    <n v="200"/>
    <n v="180"/>
    <s v="Ticket + Air travel Package"/>
    <s v="N.A."/>
    <n v="-2290"/>
  </r>
  <r>
    <s v="We will roll you"/>
    <x v="1"/>
    <x v="44"/>
    <x v="1"/>
    <n v="386"/>
    <x v="4"/>
    <n v="400"/>
    <n v="288"/>
    <s v="Ticket + Air travel + Hotel Package"/>
    <s v="N.A."/>
    <n v="-2290"/>
  </r>
  <r>
    <s v="We will roll you"/>
    <x v="7"/>
    <x v="6"/>
    <x v="1"/>
    <n v="51"/>
    <x v="0"/>
    <n v="780"/>
    <n v="531"/>
    <s v="Seating Cat. 1"/>
    <s v="N.A."/>
    <n v="-2287"/>
  </r>
  <r>
    <s v="We will roll you"/>
    <x v="7"/>
    <x v="6"/>
    <x v="1"/>
    <n v="72"/>
    <x v="1"/>
    <n v="652"/>
    <n v="503"/>
    <s v="Seating Cat. 2"/>
    <s v="N.A."/>
    <n v="-2287"/>
  </r>
  <r>
    <s v="We will roll you"/>
    <x v="7"/>
    <x v="6"/>
    <x v="1"/>
    <n v="139"/>
    <x v="2"/>
    <n v="345"/>
    <n v="252"/>
    <s v="Seating Cat. 3"/>
    <s v="N.A."/>
    <n v="-2287"/>
  </r>
  <r>
    <s v="We will roll you"/>
    <x v="7"/>
    <x v="6"/>
    <x v="1"/>
    <n v="252"/>
    <x v="3"/>
    <n v="300"/>
    <n v="216"/>
    <s v="Ticket + Air travel Package"/>
    <s v="N.A."/>
    <n v="-2287"/>
  </r>
  <r>
    <s v="We will roll you"/>
    <x v="7"/>
    <x v="6"/>
    <x v="1"/>
    <n v="332"/>
    <x v="4"/>
    <n v="300"/>
    <n v="273"/>
    <s v="Ticket + Air travel + Hotel Package"/>
    <s v="N.A."/>
    <n v="-2287"/>
  </r>
  <r>
    <s v="We will roll you"/>
    <x v="7"/>
    <x v="58"/>
    <x v="1"/>
    <n v="79"/>
    <x v="0"/>
    <n v="780"/>
    <n v="609"/>
    <s v="Seating Cat. 1"/>
    <s v="N.A."/>
    <n v="-2286"/>
  </r>
  <r>
    <s v="We will roll you"/>
    <x v="7"/>
    <x v="58"/>
    <x v="1"/>
    <n v="96"/>
    <x v="1"/>
    <n v="652"/>
    <n v="326"/>
    <s v="Seating Cat. 2"/>
    <s v="N.A."/>
    <n v="-2286"/>
  </r>
  <r>
    <s v="We will roll you"/>
    <x v="7"/>
    <x v="58"/>
    <x v="1"/>
    <n v="173"/>
    <x v="2"/>
    <n v="345"/>
    <n v="263"/>
    <s v="Seating Cat. 3"/>
    <s v="N.A."/>
    <n v="-2286"/>
  </r>
  <r>
    <s v="We will roll you"/>
    <x v="7"/>
    <x v="58"/>
    <x v="1"/>
    <n v="206"/>
    <x v="3"/>
    <n v="300"/>
    <n v="210"/>
    <s v="Ticket + Air travel Package"/>
    <s v="N.A."/>
    <n v="-2286"/>
  </r>
  <r>
    <s v="We will roll you"/>
    <x v="7"/>
    <x v="58"/>
    <x v="1"/>
    <n v="372"/>
    <x v="4"/>
    <n v="200"/>
    <n v="176"/>
    <s v="Ticket + Air travel + Hotel Package"/>
    <s v="N.A."/>
    <n v="-2286"/>
  </r>
  <r>
    <s v="We will roll you"/>
    <x v="5"/>
    <x v="7"/>
    <x v="1"/>
    <n v="54"/>
    <x v="0"/>
    <n v="840"/>
    <n v="731"/>
    <s v="Seating Cat. 1"/>
    <s v="N.A."/>
    <n v="-2282"/>
  </r>
  <r>
    <s v="We will roll you"/>
    <x v="5"/>
    <x v="7"/>
    <x v="1"/>
    <n v="114"/>
    <x v="1"/>
    <n v="490"/>
    <n v="437"/>
    <s v="Seating Cat. 2"/>
    <s v="N.A."/>
    <n v="-2282"/>
  </r>
  <r>
    <s v="We will roll you"/>
    <x v="5"/>
    <x v="7"/>
    <x v="1"/>
    <n v="175"/>
    <x v="2"/>
    <n v="390"/>
    <n v="195"/>
    <s v="Seating Cat. 3"/>
    <s v="N.A."/>
    <n v="-2282"/>
  </r>
  <r>
    <s v="We will roll you"/>
    <x v="5"/>
    <x v="7"/>
    <x v="1"/>
    <n v="259"/>
    <x v="3"/>
    <n v="300"/>
    <n v="162"/>
    <s v="Ticket + Air travel Package"/>
    <s v="N.A."/>
    <n v="-2282"/>
  </r>
  <r>
    <s v="We will roll you"/>
    <x v="5"/>
    <x v="7"/>
    <x v="1"/>
    <n v="351"/>
    <x v="4"/>
    <n v="300"/>
    <n v="192"/>
    <s v="Ticket + Air travel + Hotel Package"/>
    <s v="N.A."/>
    <n v="-2282"/>
  </r>
  <r>
    <s v="We will roll you"/>
    <x v="5"/>
    <x v="69"/>
    <x v="1"/>
    <n v="68"/>
    <x v="0"/>
    <n v="840"/>
    <n v="672"/>
    <s v="Seating Cat. 1"/>
    <s v="N.A."/>
    <n v="-2278"/>
  </r>
  <r>
    <s v="We will roll you"/>
    <x v="5"/>
    <x v="69"/>
    <x v="1"/>
    <n v="88"/>
    <x v="1"/>
    <n v="490"/>
    <n v="407"/>
    <s v="Seating Cat. 2"/>
    <s v="N.A."/>
    <n v="-2278"/>
  </r>
  <r>
    <s v="We will roll you"/>
    <x v="5"/>
    <x v="69"/>
    <x v="1"/>
    <n v="175"/>
    <x v="2"/>
    <n v="390"/>
    <n v="328"/>
    <s v="Seating Cat. 3"/>
    <s v="N.A."/>
    <n v="-2278"/>
  </r>
  <r>
    <s v="We will roll you"/>
    <x v="5"/>
    <x v="69"/>
    <x v="1"/>
    <n v="212"/>
    <x v="3"/>
    <n v="200"/>
    <n v="178"/>
    <s v="Ticket + Air travel Package"/>
    <s v="N.A."/>
    <n v="-2278"/>
  </r>
  <r>
    <s v="We will roll you"/>
    <x v="5"/>
    <x v="69"/>
    <x v="1"/>
    <n v="400"/>
    <x v="4"/>
    <n v="400"/>
    <n v="356"/>
    <s v="Ticket + Air travel + Hotel Package"/>
    <n v="0.4"/>
    <n v="-22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9DF17B-258A-4726-A9B7-2DEC1E194CC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33" firstHeaderRow="1" firstDataRow="2" firstDataCol="1" rowPageCount="1" colPageCount="1"/>
  <pivotFields count="13">
    <pivotField showAll="0"/>
    <pivotField axis="axisPage" showAll="0">
      <items count="14">
        <item x="12"/>
        <item x="6"/>
        <item x="9"/>
        <item x="11"/>
        <item x="8"/>
        <item x="7"/>
        <item x="3"/>
        <item x="1"/>
        <item x="4"/>
        <item x="5"/>
        <item x="2"/>
        <item x="0"/>
        <item x="10"/>
        <item t="default"/>
      </items>
    </pivotField>
    <pivotField axis="axisRow" numFmtId="14" showAll="0">
      <items count="71">
        <item x="63"/>
        <item x="17"/>
        <item x="41"/>
        <item x="68"/>
        <item x="38"/>
        <item x="30"/>
        <item x="42"/>
        <item x="0"/>
        <item x="53"/>
        <item x="28"/>
        <item x="43"/>
        <item x="64"/>
        <item x="1"/>
        <item x="54"/>
        <item x="50"/>
        <item x="44"/>
        <item x="56"/>
        <item x="2"/>
        <item x="33"/>
        <item x="6"/>
        <item x="49"/>
        <item x="58"/>
        <item x="45"/>
        <item x="18"/>
        <item x="7"/>
        <item x="46"/>
        <item x="59"/>
        <item x="8"/>
        <item x="67"/>
        <item x="69"/>
        <item x="21"/>
        <item x="22"/>
        <item x="3"/>
        <item x="60"/>
        <item x="39"/>
        <item x="52"/>
        <item x="31"/>
        <item x="29"/>
        <item x="66"/>
        <item x="36"/>
        <item x="23"/>
        <item x="24"/>
        <item x="19"/>
        <item x="4"/>
        <item x="20"/>
        <item x="25"/>
        <item x="55"/>
        <item x="47"/>
        <item x="15"/>
        <item x="62"/>
        <item x="16"/>
        <item x="48"/>
        <item x="9"/>
        <item x="34"/>
        <item x="14"/>
        <item x="65"/>
        <item x="26"/>
        <item x="10"/>
        <item x="51"/>
        <item x="35"/>
        <item x="27"/>
        <item x="11"/>
        <item x="61"/>
        <item x="40"/>
        <item x="12"/>
        <item x="13"/>
        <item x="32"/>
        <item x="37"/>
        <item x="57"/>
        <item x="5"/>
        <item t="default"/>
      </items>
    </pivotField>
    <pivotField axis="axisRow" showAll="0">
      <items count="8">
        <item x="5"/>
        <item x="4"/>
        <item x="2"/>
        <item x="3"/>
        <item x="1"/>
        <item x="0"/>
        <item x="6"/>
        <item t="default"/>
      </items>
    </pivotField>
    <pivotField showAll="0"/>
    <pivotField axis="axisCol" showAll="0">
      <items count="11">
        <item x="7"/>
        <item x="8"/>
        <item x="9"/>
        <item x="6"/>
        <item x="0"/>
        <item x="1"/>
        <item x="2"/>
        <item x="5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3"/>
    <field x="12"/>
    <field x="2"/>
    <field x="11"/>
  </rowFields>
  <rowItems count="29">
    <i>
      <x/>
    </i>
    <i r="1">
      <x v="6"/>
    </i>
    <i r="1">
      <x v="7"/>
    </i>
    <i r="1">
      <x v="8"/>
    </i>
    <i>
      <x v="1"/>
    </i>
    <i r="1">
      <x v="6"/>
    </i>
    <i r="1">
      <x v="7"/>
    </i>
    <i r="1">
      <x v="8"/>
    </i>
    <i>
      <x v="2"/>
    </i>
    <i r="1">
      <x v="6"/>
    </i>
    <i r="1">
      <x v="7"/>
    </i>
    <i r="1">
      <x v="8"/>
    </i>
    <i>
      <x v="3"/>
    </i>
    <i r="1">
      <x v="6"/>
    </i>
    <i r="1">
      <x v="7"/>
    </i>
    <i r="1">
      <x v="8"/>
    </i>
    <i>
      <x v="4"/>
    </i>
    <i r="1">
      <x v="6"/>
    </i>
    <i r="1">
      <x v="7"/>
    </i>
    <i r="1">
      <x v="8"/>
    </i>
    <i>
      <x v="5"/>
    </i>
    <i r="1">
      <x v="6"/>
    </i>
    <i r="1">
      <x v="7"/>
    </i>
    <i r="1">
      <x v="8"/>
    </i>
    <i>
      <x v="6"/>
    </i>
    <i r="1">
      <x v="6"/>
    </i>
    <i r="1">
      <x v="7"/>
    </i>
    <i r="1">
      <x v="8"/>
    </i>
    <i t="grand">
      <x/>
    </i>
  </rowItems>
  <colFields count="1">
    <field x="5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1" hier="-1"/>
  </pageFields>
  <dataFields count="1">
    <dataField name="Sum of Tickets Sold" fld="7" baseField="0" baseItem="0"/>
  </dataFields>
  <formats count="19"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5" type="button" dataOnly="0" labelOnly="1" outline="0" axis="axisCol" fieldPosition="0"/>
    </format>
    <format dxfId="29">
      <pivotArea type="topRight" dataOnly="0" labelOnly="1" outline="0" fieldPosition="0"/>
    </format>
    <format dxfId="28">
      <pivotArea field="3" type="button" dataOnly="0" labelOnly="1" outline="0" axis="axisRow" fieldPosition="0"/>
    </format>
    <format dxfId="27">
      <pivotArea dataOnly="0" labelOnly="1" fieldPosition="0">
        <references count="1">
          <reference field="3" count="0"/>
        </references>
      </pivotArea>
    </format>
    <format dxfId="26">
      <pivotArea dataOnly="0" labelOnly="1" grandRow="1" outline="0" fieldPosition="0"/>
    </format>
    <format dxfId="25">
      <pivotArea dataOnly="0" labelOnly="1" fieldPosition="0">
        <references count="2">
          <reference field="3" count="1" selected="0">
            <x v="0"/>
          </reference>
          <reference field="12" count="3">
            <x v="6"/>
            <x v="7"/>
            <x v="8"/>
          </reference>
        </references>
      </pivotArea>
    </format>
    <format dxfId="24">
      <pivotArea dataOnly="0" labelOnly="1" fieldPosition="0">
        <references count="2">
          <reference field="3" count="1" selected="0">
            <x v="1"/>
          </reference>
          <reference field="12" count="3">
            <x v="6"/>
            <x v="7"/>
            <x v="8"/>
          </reference>
        </references>
      </pivotArea>
    </format>
    <format dxfId="23">
      <pivotArea dataOnly="0" labelOnly="1" fieldPosition="0">
        <references count="2">
          <reference field="3" count="1" selected="0">
            <x v="2"/>
          </reference>
          <reference field="12" count="3">
            <x v="6"/>
            <x v="7"/>
            <x v="8"/>
          </reference>
        </references>
      </pivotArea>
    </format>
    <format dxfId="22">
      <pivotArea dataOnly="0" labelOnly="1" fieldPosition="0">
        <references count="2">
          <reference field="3" count="1" selected="0">
            <x v="3"/>
          </reference>
          <reference field="12" count="3">
            <x v="6"/>
            <x v="7"/>
            <x v="8"/>
          </reference>
        </references>
      </pivotArea>
    </format>
    <format dxfId="21">
      <pivotArea dataOnly="0" labelOnly="1" fieldPosition="0">
        <references count="2">
          <reference field="3" count="1" selected="0">
            <x v="4"/>
          </reference>
          <reference field="12" count="3">
            <x v="6"/>
            <x v="7"/>
            <x v="8"/>
          </reference>
        </references>
      </pivotArea>
    </format>
    <format dxfId="20">
      <pivotArea dataOnly="0" labelOnly="1" fieldPosition="0">
        <references count="2">
          <reference field="3" count="1" selected="0">
            <x v="5"/>
          </reference>
          <reference field="12" count="3">
            <x v="6"/>
            <x v="7"/>
            <x v="8"/>
          </reference>
        </references>
      </pivotArea>
    </format>
    <format dxfId="19">
      <pivotArea dataOnly="0" labelOnly="1" fieldPosition="0">
        <references count="2">
          <reference field="3" count="1" selected="0">
            <x v="6"/>
          </reference>
          <reference field="12" count="3">
            <x v="6"/>
            <x v="7"/>
            <x v="8"/>
          </reference>
        </references>
      </pivotArea>
    </format>
    <format dxfId="18">
      <pivotArea dataOnly="0" labelOnly="1" fieldPosition="0">
        <references count="1">
          <reference field="5" count="0"/>
        </references>
      </pivotArea>
    </format>
    <format dxfId="17">
      <pivotArea dataOnly="0" labelOnly="1" grandCol="1" outline="0" fieldPosition="0"/>
    </format>
    <format dxfId="16">
      <pivotArea grandRow="1" outline="0" collapsedLevelsAreSubtotals="1" fieldPosition="0"/>
    </format>
    <format dxfId="1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6A8B45-2CD2-4467-80FF-0FDF7D48FAA6}" name="Table1" displayName="Table1" ref="A1:O493" totalsRowShown="0" headerRowDxfId="14">
  <autoFilter ref="A1:O493" xr:uid="{E76A8B45-2CD2-4467-80FF-0FDF7D48FAA6}"/>
  <tableColumns count="15">
    <tableColumn id="1" xr3:uid="{21B923B1-8616-47FC-BBC3-FFCAC10FFD96}" name="Event"/>
    <tableColumn id="2" xr3:uid="{7DC37E17-B4AB-48A7-9933-FCC0CBD78A74}" name="City"/>
    <tableColumn id="3" xr3:uid="{5DA75AC0-9E86-4DEE-AB23-64A9394A04BB}" name="Event Date" dataDxfId="13"/>
    <tableColumn id="4" xr3:uid="{8E927791-C37D-49E1-A71C-30E18D94B78D}" name="Genre"/>
    <tableColumn id="5" xr3:uid="{06329C31-2C82-4969-9799-DDF1A8A003A2}" name="Ticket Price (euro)" dataDxfId="12"/>
    <tableColumn id="15" xr3:uid="{309580F4-FB4D-4191-A14C-DD334BDFF70F}" name="Margin %" dataDxfId="11">
      <calculatedColumnFormula>IFERROR(VLOOKUP(E2,Margins!$A:$B,2,TRUE),"")</calculatedColumnFormula>
    </tableColumn>
    <tableColumn id="14" xr3:uid="{E5BE96E1-7418-4F9C-B3EE-816A1B7FF0F4}" name="Margin Eros" dataDxfId="10">
      <calculatedColumnFormula>IFERROR(E2*F2*I2,"")</calculatedColumnFormula>
    </tableColumn>
    <tableColumn id="6" xr3:uid="{3AD0079C-D57E-47B0-BFB3-E3363CCD2A50}" name="Ticket Category"/>
    <tableColumn id="7" xr3:uid="{DCB73877-C6AD-48A7-A5DD-E30AFBDE651F}" name="Tickets Available"/>
    <tableColumn id="13" xr3:uid="{9CF709DB-A355-4A6A-B345-55BC4EA2B1B5}" name="Rating" dataDxfId="9">
      <calculatedColumnFormula>IF(Table1[[#This Row],[Tickets Sold]]&gt;500,8,5)</calculatedColumnFormula>
    </tableColumn>
    <tableColumn id="8" xr3:uid="{C6544331-5CB7-4CDF-B5A4-E97A59870997}" name="Tickets Sold"/>
    <tableColumn id="9" xr3:uid="{2951A8F1-F92A-4BB5-BA6A-D65107D3E88C}" name="Description">
      <calculatedColumnFormula>VLOOKUP(H2,Descriptions!A:B, 2, FALSE)</calculatedColumnFormula>
    </tableColumn>
    <tableColumn id="11" xr3:uid="{E2EB35F5-60FF-4C83-9E0D-B0BFA18463BC}" name="Days" dataDxfId="8">
      <calculatedColumnFormula>NETWORKDAYS(TODAY(), C2-1)</calculatedColumnFormula>
    </tableColumn>
    <tableColumn id="12" xr3:uid="{17E93780-45BA-4DD0-B49C-B7788244BAF1}" name="Margin Euros">
      <calculatedColumnFormula>E2*F2*K2</calculatedColumnFormula>
    </tableColumn>
    <tableColumn id="10" xr3:uid="{4FA024EF-C3D5-434C-AE7D-48600729A9D1}" name="Ticket  Code" dataDxfId="7">
      <calculatedColumnFormula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B8DDE9-FF54-454F-AF2A-3D2467FFA8DA}" name="Table3" displayName="Table3" ref="A1:C9" totalsRowShown="0" headerRowBorderDxfId="6" tableBorderDxfId="5" totalsRowBorderDxfId="4">
  <autoFilter ref="A1:C9" xr:uid="{68B8DDE9-FF54-454F-AF2A-3D2467FFA8DA}"/>
  <tableColumns count="3">
    <tableColumn id="1" xr3:uid="{D052A0AC-1E70-4B7D-B2C4-CA6BEB2790E7}" name="Genre" dataDxfId="3"/>
    <tableColumn id="2" xr3:uid="{B600E6D3-F839-41A6-A081-8F11414AC52D}" name="Avg % of Sales " dataDxfId="2"/>
    <tableColumn id="3" xr3:uid="{98F5804F-BFBA-4A9D-A0B5-AF1116FB5E44}" name="Total Margin € 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3"/>
  <sheetViews>
    <sheetView tabSelected="1" workbookViewId="0">
      <selection activeCell="F2" sqref="F2"/>
    </sheetView>
  </sheetViews>
  <sheetFormatPr defaultRowHeight="14.4" x14ac:dyDescent="0.3"/>
  <cols>
    <col min="1" max="1" width="24" bestFit="1" customWidth="1"/>
    <col min="2" max="2" width="11.21875" bestFit="1" customWidth="1"/>
    <col min="3" max="3" width="14.5546875" bestFit="1" customWidth="1"/>
    <col min="4" max="4" width="10.44140625" bestFit="1" customWidth="1"/>
    <col min="5" max="5" width="20.77734375" bestFit="1" customWidth="1"/>
    <col min="6" max="6" width="13.33203125" bestFit="1" customWidth="1"/>
    <col min="7" max="7" width="15.44140625" bestFit="1" customWidth="1"/>
    <col min="8" max="8" width="18.5546875" bestFit="1" customWidth="1"/>
    <col min="9" max="9" width="19.21875" bestFit="1" customWidth="1"/>
    <col min="10" max="10" width="10.77734375" bestFit="1" customWidth="1"/>
    <col min="11" max="11" width="15.21875" bestFit="1" customWidth="1"/>
    <col min="12" max="12" width="29" bestFit="1" customWidth="1"/>
    <col min="13" max="13" width="9.44140625" bestFit="1" customWidth="1"/>
    <col min="14" max="14" width="16.5546875" bestFit="1" customWidth="1"/>
    <col min="15" max="15" width="19.109375" bestFit="1" customWidth="1"/>
  </cols>
  <sheetData>
    <row r="1" spans="1:15" s="3" customFormat="1" ht="15" thickBot="1" x14ac:dyDescent="0.35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83</v>
      </c>
      <c r="G1" s="5" t="s">
        <v>95</v>
      </c>
      <c r="H1" s="5" t="s">
        <v>44</v>
      </c>
      <c r="I1" s="5" t="s">
        <v>45</v>
      </c>
      <c r="J1" s="5" t="s">
        <v>94</v>
      </c>
      <c r="K1" s="5" t="s">
        <v>46</v>
      </c>
      <c r="L1" s="7" t="s">
        <v>58</v>
      </c>
      <c r="M1" s="8" t="s">
        <v>84</v>
      </c>
      <c r="N1" s="8" t="s">
        <v>93</v>
      </c>
      <c r="O1" s="8" t="s">
        <v>100</v>
      </c>
    </row>
    <row r="2" spans="1:15" x14ac:dyDescent="0.3">
      <c r="A2" t="s">
        <v>19</v>
      </c>
      <c r="B2" t="s">
        <v>2</v>
      </c>
      <c r="C2" s="1">
        <v>42896</v>
      </c>
      <c r="D2" t="s">
        <v>20</v>
      </c>
      <c r="E2">
        <v>70</v>
      </c>
      <c r="F2">
        <f>IFERROR(VLOOKUP(E2,Margins!$A:$B,2,TRUE),"")</f>
        <v>0.1</v>
      </c>
      <c r="G2">
        <f t="shared" ref="G2:G65" si="0">IFERROR(E2*F2*I2,"")</f>
        <v>21000</v>
      </c>
      <c r="H2" t="s">
        <v>62</v>
      </c>
      <c r="I2">
        <v>3000</v>
      </c>
      <c r="J2">
        <f>IF(Table1[[#This Row],[Tickets Sold]]&gt;500,8,5)</f>
        <v>8</v>
      </c>
      <c r="K2">
        <v>1680</v>
      </c>
      <c r="L2" t="str">
        <f>VLOOKUP(H2,Descriptions!A:B, 2, FALSE)</f>
        <v>Seating Cat. 1</v>
      </c>
      <c r="M2">
        <f t="shared" ref="M2:M65" ca="1" si="1">NETWORKDAYS(TODAY(), C2-1)</f>
        <v>-2298</v>
      </c>
      <c r="N2">
        <f>E2*F2*K2</f>
        <v>11760</v>
      </c>
      <c r="O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17-SC1Aid-Vie10/6</v>
      </c>
    </row>
    <row r="3" spans="1:15" x14ac:dyDescent="0.3">
      <c r="A3" t="s">
        <v>19</v>
      </c>
      <c r="B3" t="s">
        <v>2</v>
      </c>
      <c r="C3" s="1">
        <v>42896</v>
      </c>
      <c r="D3" t="s">
        <v>20</v>
      </c>
      <c r="E3">
        <v>84</v>
      </c>
      <c r="F3">
        <f>IFERROR(VLOOKUP(E3,Margins!$A:$B,2,TRUE),"")</f>
        <v>0.1</v>
      </c>
      <c r="G3">
        <f t="shared" si="0"/>
        <v>8400</v>
      </c>
      <c r="H3" t="s">
        <v>63</v>
      </c>
      <c r="I3">
        <v>1000</v>
      </c>
      <c r="J3">
        <f>IF(Table1[[#This Row],[Tickets Sold]]&gt;500,8,5)</f>
        <v>8</v>
      </c>
      <c r="K3">
        <v>740</v>
      </c>
      <c r="L3" t="str">
        <f>VLOOKUP(H3,Descriptions!A:B, 2, FALSE)</f>
        <v>Seating Cat. 2</v>
      </c>
      <c r="M3">
        <f t="shared" ca="1" si="1"/>
        <v>-2298</v>
      </c>
      <c r="N3">
        <f t="shared" ref="N3:N66" si="2">E3*F3*K3</f>
        <v>6216</v>
      </c>
      <c r="O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17-SC2Aid-Vie10/6</v>
      </c>
    </row>
    <row r="4" spans="1:15" x14ac:dyDescent="0.3">
      <c r="A4" t="s">
        <v>19</v>
      </c>
      <c r="B4" t="s">
        <v>2</v>
      </c>
      <c r="C4" s="1">
        <v>42896</v>
      </c>
      <c r="D4" t="s">
        <v>20</v>
      </c>
      <c r="E4">
        <v>121</v>
      </c>
      <c r="F4">
        <f>IFERROR(VLOOKUP(E4,Margins!$A:$B,2,TRUE),"")</f>
        <v>0.15</v>
      </c>
      <c r="G4">
        <f t="shared" si="0"/>
        <v>9075</v>
      </c>
      <c r="H4" t="s">
        <v>64</v>
      </c>
      <c r="I4">
        <v>500</v>
      </c>
      <c r="J4">
        <f>IF(Table1[[#This Row],[Tickets Sold]]&gt;500,8,5)</f>
        <v>5</v>
      </c>
      <c r="K4">
        <v>250</v>
      </c>
      <c r="L4" t="str">
        <f>VLOOKUP(H4,Descriptions!A:B, 2, FALSE)</f>
        <v>Seating Cat. 3</v>
      </c>
      <c r="M4">
        <f t="shared" ca="1" si="1"/>
        <v>-2298</v>
      </c>
      <c r="N4">
        <f t="shared" si="2"/>
        <v>4537.5</v>
      </c>
      <c r="O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17-SC3Aid-Vie10/6</v>
      </c>
    </row>
    <row r="5" spans="1:15" x14ac:dyDescent="0.3">
      <c r="A5" t="s">
        <v>19</v>
      </c>
      <c r="B5" t="s">
        <v>2</v>
      </c>
      <c r="C5" s="1">
        <v>42896</v>
      </c>
      <c r="D5" t="s">
        <v>20</v>
      </c>
      <c r="E5">
        <v>272</v>
      </c>
      <c r="F5">
        <f>IFERROR(VLOOKUP(E5,Margins!$A:$B,2,TRUE),"")</f>
        <v>0.25</v>
      </c>
      <c r="G5">
        <f t="shared" si="0"/>
        <v>20400</v>
      </c>
      <c r="H5" t="s">
        <v>65</v>
      </c>
      <c r="I5">
        <v>300</v>
      </c>
      <c r="J5">
        <f>IF(Table1[[#This Row],[Tickets Sold]]&gt;500,8,5)</f>
        <v>5</v>
      </c>
      <c r="K5">
        <v>198</v>
      </c>
      <c r="L5" t="str">
        <f>VLOOKUP(H5,Descriptions!A:B, 2, FALSE)</f>
        <v>Ticket + Air travel Package</v>
      </c>
      <c r="M5">
        <f t="shared" ca="1" si="1"/>
        <v>-2298</v>
      </c>
      <c r="N5">
        <f t="shared" si="2"/>
        <v>13464</v>
      </c>
      <c r="O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17-TA1Aid-Vie10/6</v>
      </c>
    </row>
    <row r="6" spans="1:15" x14ac:dyDescent="0.3">
      <c r="A6" t="s">
        <v>19</v>
      </c>
      <c r="B6" t="s">
        <v>2</v>
      </c>
      <c r="C6" s="1">
        <v>42896</v>
      </c>
      <c r="D6" t="s">
        <v>20</v>
      </c>
      <c r="E6">
        <v>370</v>
      </c>
      <c r="F6">
        <f>IFERROR(VLOOKUP(E6,Margins!$A:$B,2,TRUE),"")</f>
        <v>0.25</v>
      </c>
      <c r="G6">
        <f t="shared" si="0"/>
        <v>37000</v>
      </c>
      <c r="H6" t="s">
        <v>66</v>
      </c>
      <c r="I6">
        <v>400</v>
      </c>
      <c r="J6">
        <f>IF(Table1[[#This Row],[Tickets Sold]]&gt;500,8,5)</f>
        <v>5</v>
      </c>
      <c r="K6">
        <v>324</v>
      </c>
      <c r="L6" t="str">
        <f>VLOOKUP(H6,Descriptions!A:B, 2, FALSE)</f>
        <v>Ticket + Air travel + Hotel Package</v>
      </c>
      <c r="M6">
        <f t="shared" ca="1" si="1"/>
        <v>-2298</v>
      </c>
      <c r="N6">
        <f t="shared" si="2"/>
        <v>29970</v>
      </c>
      <c r="O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17-TA2Aid-Vie10/6</v>
      </c>
    </row>
    <row r="7" spans="1:15" x14ac:dyDescent="0.3">
      <c r="A7" t="s">
        <v>19</v>
      </c>
      <c r="B7" t="s">
        <v>5</v>
      </c>
      <c r="C7" s="1">
        <v>42904</v>
      </c>
      <c r="D7" t="s">
        <v>20</v>
      </c>
      <c r="E7">
        <v>31</v>
      </c>
      <c r="F7">
        <f>IFERROR(VLOOKUP(E7,Margins!$A:$B,2,TRUE),"")</f>
        <v>7.0000000000000007E-2</v>
      </c>
      <c r="G7">
        <f t="shared" si="0"/>
        <v>8680.0000000000018</v>
      </c>
      <c r="H7" t="s">
        <v>62</v>
      </c>
      <c r="I7">
        <v>4000</v>
      </c>
      <c r="J7">
        <f>IF(Table1[[#This Row],[Tickets Sold]]&gt;500,8,5)</f>
        <v>8</v>
      </c>
      <c r="K7">
        <v>2800</v>
      </c>
      <c r="L7" t="str">
        <f>VLOOKUP(H7,Descriptions!A:B, 2, FALSE)</f>
        <v>Seating Cat. 1</v>
      </c>
      <c r="M7">
        <f t="shared" ca="1" si="1"/>
        <v>-2292</v>
      </c>
      <c r="N7">
        <f t="shared" si="2"/>
        <v>6076.0000000000009</v>
      </c>
      <c r="O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17-SC1Aid-Mad18/6</v>
      </c>
    </row>
    <row r="8" spans="1:15" x14ac:dyDescent="0.3">
      <c r="A8" t="s">
        <v>19</v>
      </c>
      <c r="B8" t="s">
        <v>5</v>
      </c>
      <c r="C8" s="1">
        <v>42904</v>
      </c>
      <c r="D8" t="s">
        <v>20</v>
      </c>
      <c r="E8">
        <v>93</v>
      </c>
      <c r="F8">
        <f>IFERROR(VLOOKUP(E8,Margins!$A:$B,2,TRUE),"")</f>
        <v>0.1</v>
      </c>
      <c r="G8">
        <f t="shared" si="0"/>
        <v>11160</v>
      </c>
      <c r="H8" t="s">
        <v>63</v>
      </c>
      <c r="I8">
        <v>1200</v>
      </c>
      <c r="J8">
        <f>IF(Table1[[#This Row],[Tickets Sold]]&gt;500,8,5)</f>
        <v>8</v>
      </c>
      <c r="K8">
        <v>1044</v>
      </c>
      <c r="L8" t="str">
        <f>VLOOKUP(H8,Descriptions!A:B, 2, FALSE)</f>
        <v>Seating Cat. 2</v>
      </c>
      <c r="M8">
        <f t="shared" ca="1" si="1"/>
        <v>-2292</v>
      </c>
      <c r="N8">
        <f t="shared" si="2"/>
        <v>9709.2000000000007</v>
      </c>
      <c r="O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17-SC2Aid-Mad18/6</v>
      </c>
    </row>
    <row r="9" spans="1:15" x14ac:dyDescent="0.3">
      <c r="A9" t="s">
        <v>19</v>
      </c>
      <c r="B9" t="s">
        <v>5</v>
      </c>
      <c r="C9" s="1">
        <v>42904</v>
      </c>
      <c r="D9" t="s">
        <v>20</v>
      </c>
      <c r="E9">
        <v>189</v>
      </c>
      <c r="F9">
        <f>IFERROR(VLOOKUP(E9,Margins!$A:$B,2,TRUE),"")</f>
        <v>0.15</v>
      </c>
      <c r="G9">
        <f t="shared" si="0"/>
        <v>19845</v>
      </c>
      <c r="H9" t="s">
        <v>64</v>
      </c>
      <c r="I9">
        <v>700</v>
      </c>
      <c r="J9">
        <f>IF(Table1[[#This Row],[Tickets Sold]]&gt;500,8,5)</f>
        <v>8</v>
      </c>
      <c r="K9">
        <v>630</v>
      </c>
      <c r="L9" t="str">
        <f>VLOOKUP(H9,Descriptions!A:B, 2, FALSE)</f>
        <v>Seating Cat. 3</v>
      </c>
      <c r="M9">
        <f t="shared" ca="1" si="1"/>
        <v>-2292</v>
      </c>
      <c r="N9">
        <f t="shared" si="2"/>
        <v>17860.5</v>
      </c>
      <c r="O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17-SC3Aid-Mad18/6</v>
      </c>
    </row>
    <row r="10" spans="1:15" x14ac:dyDescent="0.3">
      <c r="A10" t="s">
        <v>19</v>
      </c>
      <c r="B10" t="s">
        <v>47</v>
      </c>
      <c r="C10" s="1">
        <v>42910</v>
      </c>
      <c r="D10" t="s">
        <v>20</v>
      </c>
      <c r="E10">
        <v>59</v>
      </c>
      <c r="F10">
        <f>IFERROR(VLOOKUP(E10,Margins!$A:$B,2,TRUE),"")</f>
        <v>0.1</v>
      </c>
      <c r="G10">
        <f t="shared" si="0"/>
        <v>11800</v>
      </c>
      <c r="H10" t="s">
        <v>62</v>
      </c>
      <c r="I10">
        <v>2000</v>
      </c>
      <c r="J10">
        <f>IF(Table1[[#This Row],[Tickets Sold]]&gt;500,8,5)</f>
        <v>8</v>
      </c>
      <c r="K10">
        <v>1520</v>
      </c>
      <c r="L10" t="str">
        <f>VLOOKUP(H10,Descriptions!A:B, 2, FALSE)</f>
        <v>Seating Cat. 1</v>
      </c>
      <c r="M10">
        <f t="shared" ca="1" si="1"/>
        <v>-2288</v>
      </c>
      <c r="N10">
        <f t="shared" si="2"/>
        <v>8968</v>
      </c>
      <c r="O1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17-SC1Aid-Sto24/6</v>
      </c>
    </row>
    <row r="11" spans="1:15" x14ac:dyDescent="0.3">
      <c r="A11" t="s">
        <v>19</v>
      </c>
      <c r="B11" t="s">
        <v>47</v>
      </c>
      <c r="C11" s="1">
        <v>42910</v>
      </c>
      <c r="D11" t="s">
        <v>20</v>
      </c>
      <c r="E11">
        <v>93</v>
      </c>
      <c r="F11">
        <f>IFERROR(VLOOKUP(E11,Margins!$A:$B,2,TRUE),"")</f>
        <v>0.1</v>
      </c>
      <c r="G11">
        <f t="shared" si="0"/>
        <v>8370</v>
      </c>
      <c r="H11" t="s">
        <v>63</v>
      </c>
      <c r="I11">
        <v>900</v>
      </c>
      <c r="J11">
        <f>IF(Table1[[#This Row],[Tickets Sold]]&gt;500,8,5)</f>
        <v>8</v>
      </c>
      <c r="K11">
        <v>513</v>
      </c>
      <c r="L11" t="str">
        <f>VLOOKUP(H11,Descriptions!A:B, 2, FALSE)</f>
        <v>Seating Cat. 2</v>
      </c>
      <c r="M11">
        <f t="shared" ca="1" si="1"/>
        <v>-2288</v>
      </c>
      <c r="N11">
        <f t="shared" si="2"/>
        <v>4770.9000000000005</v>
      </c>
      <c r="O1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17-SC2Aid-Sto24/6</v>
      </c>
    </row>
    <row r="12" spans="1:15" x14ac:dyDescent="0.3">
      <c r="A12" t="s">
        <v>19</v>
      </c>
      <c r="B12" t="s">
        <v>47</v>
      </c>
      <c r="C12" s="1">
        <v>42910</v>
      </c>
      <c r="D12" t="s">
        <v>20</v>
      </c>
      <c r="E12">
        <v>168</v>
      </c>
      <c r="F12">
        <f>IFERROR(VLOOKUP(E12,Margins!$A:$B,2,TRUE),"")</f>
        <v>0.15</v>
      </c>
      <c r="G12">
        <f t="shared" si="0"/>
        <v>11340</v>
      </c>
      <c r="H12" t="s">
        <v>64</v>
      </c>
      <c r="I12">
        <v>450</v>
      </c>
      <c r="J12">
        <f>IF(Table1[[#This Row],[Tickets Sold]]&gt;500,8,5)</f>
        <v>5</v>
      </c>
      <c r="K12">
        <v>356</v>
      </c>
      <c r="L12" t="str">
        <f>VLOOKUP(H12,Descriptions!A:B, 2, FALSE)</f>
        <v>Seating Cat. 3</v>
      </c>
      <c r="M12">
        <f t="shared" ca="1" si="1"/>
        <v>-2288</v>
      </c>
      <c r="N12">
        <f t="shared" si="2"/>
        <v>8971.1999999999989</v>
      </c>
      <c r="O1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17-SC3Aid-Sto24/6</v>
      </c>
    </row>
    <row r="13" spans="1:15" x14ac:dyDescent="0.3">
      <c r="A13" t="s">
        <v>19</v>
      </c>
      <c r="B13" t="s">
        <v>47</v>
      </c>
      <c r="C13" s="1">
        <v>42910</v>
      </c>
      <c r="D13" t="s">
        <v>20</v>
      </c>
      <c r="E13">
        <v>283</v>
      </c>
      <c r="F13">
        <f>IFERROR(VLOOKUP(E13,Margins!$A:$B,2,TRUE),"")</f>
        <v>0.25</v>
      </c>
      <c r="G13">
        <f t="shared" si="0"/>
        <v>21225</v>
      </c>
      <c r="H13" t="s">
        <v>65</v>
      </c>
      <c r="I13">
        <v>300</v>
      </c>
      <c r="J13">
        <f>IF(Table1[[#This Row],[Tickets Sold]]&gt;500,8,5)</f>
        <v>5</v>
      </c>
      <c r="K13">
        <v>231</v>
      </c>
      <c r="L13" t="str">
        <f>VLOOKUP(H13,Descriptions!A:B, 2, FALSE)</f>
        <v>Ticket + Air travel Package</v>
      </c>
      <c r="M13">
        <f t="shared" ca="1" si="1"/>
        <v>-2288</v>
      </c>
      <c r="N13">
        <f t="shared" si="2"/>
        <v>16343.25</v>
      </c>
      <c r="O1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17-TA1Aid-Sto24/6</v>
      </c>
    </row>
    <row r="14" spans="1:15" x14ac:dyDescent="0.3">
      <c r="A14" t="s">
        <v>19</v>
      </c>
      <c r="B14" t="s">
        <v>47</v>
      </c>
      <c r="C14" s="1">
        <v>42910</v>
      </c>
      <c r="D14" t="s">
        <v>20</v>
      </c>
      <c r="E14">
        <v>363</v>
      </c>
      <c r="F14">
        <f>IFERROR(VLOOKUP(E14,Margins!$A:$B,2,TRUE),"")</f>
        <v>0.25</v>
      </c>
      <c r="G14">
        <f t="shared" si="0"/>
        <v>36300</v>
      </c>
      <c r="H14" t="s">
        <v>66</v>
      </c>
      <c r="I14">
        <v>400</v>
      </c>
      <c r="J14">
        <f>IF(Table1[[#This Row],[Tickets Sold]]&gt;500,8,5)</f>
        <v>5</v>
      </c>
      <c r="K14">
        <v>320</v>
      </c>
      <c r="L14" t="str">
        <f>VLOOKUP(H14,Descriptions!A:B, 2, FALSE)</f>
        <v>Ticket + Air travel + Hotel Package</v>
      </c>
      <c r="M14">
        <f t="shared" ca="1" si="1"/>
        <v>-2288</v>
      </c>
      <c r="N14">
        <f t="shared" si="2"/>
        <v>29040</v>
      </c>
      <c r="O1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17-TA2Aid-Sto24/6</v>
      </c>
    </row>
    <row r="15" spans="1:15" x14ac:dyDescent="0.3">
      <c r="A15" t="s">
        <v>19</v>
      </c>
      <c r="B15" t="s">
        <v>50</v>
      </c>
      <c r="C15" s="1">
        <v>42929</v>
      </c>
      <c r="D15" t="s">
        <v>20</v>
      </c>
      <c r="E15">
        <v>68</v>
      </c>
      <c r="F15">
        <f>IFERROR(VLOOKUP(E15,Margins!$A:$B,2,TRUE),"")</f>
        <v>0.1</v>
      </c>
      <c r="G15">
        <f t="shared" si="0"/>
        <v>16320.000000000002</v>
      </c>
      <c r="H15" t="s">
        <v>62</v>
      </c>
      <c r="I15">
        <v>2400</v>
      </c>
      <c r="J15">
        <f>IF(Table1[[#This Row],[Tickets Sold]]&gt;500,8,5)</f>
        <v>8</v>
      </c>
      <c r="K15">
        <v>1752</v>
      </c>
      <c r="L15" t="str">
        <f>VLOOKUP(H15,Descriptions!A:B, 2, FALSE)</f>
        <v>Seating Cat. 1</v>
      </c>
      <c r="M15">
        <f t="shared" ca="1" si="1"/>
        <v>-2275</v>
      </c>
      <c r="N15">
        <f t="shared" si="2"/>
        <v>11913.6</v>
      </c>
      <c r="O1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17-SC1Aid-Lyo13/7</v>
      </c>
    </row>
    <row r="16" spans="1:15" x14ac:dyDescent="0.3">
      <c r="A16" t="s">
        <v>19</v>
      </c>
      <c r="B16" t="s">
        <v>50</v>
      </c>
      <c r="C16" s="1">
        <v>42929</v>
      </c>
      <c r="D16" t="s">
        <v>20</v>
      </c>
      <c r="E16">
        <v>89</v>
      </c>
      <c r="F16">
        <f>IFERROR(VLOOKUP(E16,Margins!$A:$B,2,TRUE),"")</f>
        <v>0.1</v>
      </c>
      <c r="G16">
        <f t="shared" si="0"/>
        <v>6675</v>
      </c>
      <c r="H16" t="s">
        <v>63</v>
      </c>
      <c r="I16">
        <v>750</v>
      </c>
      <c r="J16">
        <f>IF(Table1[[#This Row],[Tickets Sold]]&gt;500,8,5)</f>
        <v>8</v>
      </c>
      <c r="K16">
        <v>578</v>
      </c>
      <c r="L16" t="str">
        <f>VLOOKUP(H16,Descriptions!A:B, 2, FALSE)</f>
        <v>Seating Cat. 2</v>
      </c>
      <c r="M16">
        <f t="shared" ca="1" si="1"/>
        <v>-2275</v>
      </c>
      <c r="N16">
        <f t="shared" si="2"/>
        <v>5144.2</v>
      </c>
      <c r="O1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17-SC2Aid-Lyo13/7</v>
      </c>
    </row>
    <row r="17" spans="1:15" x14ac:dyDescent="0.3">
      <c r="A17" t="s">
        <v>19</v>
      </c>
      <c r="B17" t="s">
        <v>49</v>
      </c>
      <c r="C17" s="1">
        <v>42940</v>
      </c>
      <c r="D17" t="s">
        <v>20</v>
      </c>
      <c r="E17">
        <v>70</v>
      </c>
      <c r="F17">
        <f>IFERROR(VLOOKUP(E17,Margins!$A:$B,2,TRUE),"")</f>
        <v>0.1</v>
      </c>
      <c r="G17">
        <f t="shared" si="0"/>
        <v>23800</v>
      </c>
      <c r="H17" t="s">
        <v>62</v>
      </c>
      <c r="I17">
        <v>3400</v>
      </c>
      <c r="J17">
        <f>IF(Table1[[#This Row],[Tickets Sold]]&gt;500,8,5)</f>
        <v>8</v>
      </c>
      <c r="K17">
        <v>2754</v>
      </c>
      <c r="L17" t="str">
        <f>VLOOKUP(H17,Descriptions!A:B, 2, FALSE)</f>
        <v>Seating Cat. 1</v>
      </c>
      <c r="M17">
        <f t="shared" ca="1" si="1"/>
        <v>-2267</v>
      </c>
      <c r="N17">
        <f t="shared" si="2"/>
        <v>19278</v>
      </c>
      <c r="O1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17-SC1Aid-Nic24/7</v>
      </c>
    </row>
    <row r="18" spans="1:15" x14ac:dyDescent="0.3">
      <c r="A18" t="s">
        <v>19</v>
      </c>
      <c r="B18" t="s">
        <v>49</v>
      </c>
      <c r="C18" s="1">
        <v>42940</v>
      </c>
      <c r="D18" t="s">
        <v>20</v>
      </c>
      <c r="E18">
        <v>115</v>
      </c>
      <c r="F18">
        <f>IFERROR(VLOOKUP(E18,Margins!$A:$B,2,TRUE),"")</f>
        <v>0.15</v>
      </c>
      <c r="G18">
        <f t="shared" si="0"/>
        <v>16387.5</v>
      </c>
      <c r="H18" t="s">
        <v>63</v>
      </c>
      <c r="I18">
        <v>950</v>
      </c>
      <c r="J18">
        <f>IF(Table1[[#This Row],[Tickets Sold]]&gt;500,8,5)</f>
        <v>8</v>
      </c>
      <c r="K18">
        <v>618</v>
      </c>
      <c r="L18" t="str">
        <f>VLOOKUP(H18,Descriptions!A:B, 2, FALSE)</f>
        <v>Seating Cat. 2</v>
      </c>
      <c r="M18">
        <f t="shared" ca="1" si="1"/>
        <v>-2267</v>
      </c>
      <c r="N18">
        <f t="shared" si="2"/>
        <v>10660.5</v>
      </c>
      <c r="O1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17-SC2Aid-Nic24/7</v>
      </c>
    </row>
    <row r="19" spans="1:15" x14ac:dyDescent="0.3">
      <c r="A19" t="s">
        <v>19</v>
      </c>
      <c r="B19" t="s">
        <v>49</v>
      </c>
      <c r="C19" s="1">
        <v>42940</v>
      </c>
      <c r="D19" t="s">
        <v>20</v>
      </c>
      <c r="E19">
        <v>169</v>
      </c>
      <c r="F19">
        <f>IFERROR(VLOOKUP(E19,Margins!$A:$B,2,TRUE),"")</f>
        <v>0.15</v>
      </c>
      <c r="G19">
        <f t="shared" si="0"/>
        <v>11914.499999999998</v>
      </c>
      <c r="H19" t="s">
        <v>64</v>
      </c>
      <c r="I19">
        <v>470</v>
      </c>
      <c r="J19">
        <f>IF(Table1[[#This Row],[Tickets Sold]]&gt;500,8,5)</f>
        <v>5</v>
      </c>
      <c r="K19">
        <v>287</v>
      </c>
      <c r="L19" t="str">
        <f>VLOOKUP(H19,Descriptions!A:B, 2, FALSE)</f>
        <v>Seating Cat. 3</v>
      </c>
      <c r="M19">
        <f t="shared" ca="1" si="1"/>
        <v>-2267</v>
      </c>
      <c r="N19">
        <f t="shared" si="2"/>
        <v>7275.45</v>
      </c>
      <c r="O1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17-SC3Aid-Nic24/7</v>
      </c>
    </row>
    <row r="20" spans="1:15" x14ac:dyDescent="0.3">
      <c r="A20" t="s">
        <v>19</v>
      </c>
      <c r="B20" t="s">
        <v>48</v>
      </c>
      <c r="C20" s="1">
        <v>42975</v>
      </c>
      <c r="D20" t="s">
        <v>20</v>
      </c>
      <c r="E20">
        <v>65</v>
      </c>
      <c r="F20">
        <f>IFERROR(VLOOKUP(E20,Margins!$A:$B,2,TRUE),"")</f>
        <v>0.1</v>
      </c>
      <c r="G20">
        <f t="shared" si="0"/>
        <v>19500</v>
      </c>
      <c r="H20" t="s">
        <v>62</v>
      </c>
      <c r="I20">
        <v>3000</v>
      </c>
      <c r="J20">
        <f>IF(Table1[[#This Row],[Tickets Sold]]&gt;500,8,5)</f>
        <v>8</v>
      </c>
      <c r="K20">
        <v>1770</v>
      </c>
      <c r="L20" t="str">
        <f>VLOOKUP(H20,Descriptions!A:B, 2, FALSE)</f>
        <v>Seating Cat. 1</v>
      </c>
      <c r="M20">
        <f t="shared" ca="1" si="1"/>
        <v>-2242</v>
      </c>
      <c r="N20">
        <f t="shared" si="2"/>
        <v>11505</v>
      </c>
      <c r="O2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17-SC1Aid-Par28/8</v>
      </c>
    </row>
    <row r="21" spans="1:15" x14ac:dyDescent="0.3">
      <c r="A21" t="s">
        <v>19</v>
      </c>
      <c r="B21" t="s">
        <v>48</v>
      </c>
      <c r="C21" s="1">
        <v>42975</v>
      </c>
      <c r="D21" t="s">
        <v>20</v>
      </c>
      <c r="E21">
        <v>88</v>
      </c>
      <c r="F21">
        <f>IFERROR(VLOOKUP(E21,Margins!$A:$B,2,TRUE),"")</f>
        <v>0.1</v>
      </c>
      <c r="G21">
        <f t="shared" si="0"/>
        <v>8800</v>
      </c>
      <c r="H21" t="s">
        <v>63</v>
      </c>
      <c r="I21">
        <v>1000</v>
      </c>
      <c r="J21">
        <f>IF(Table1[[#This Row],[Tickets Sold]]&gt;500,8,5)</f>
        <v>5</v>
      </c>
      <c r="K21">
        <v>500</v>
      </c>
      <c r="L21" t="str">
        <f>VLOOKUP(H21,Descriptions!A:B, 2, FALSE)</f>
        <v>Seating Cat. 2</v>
      </c>
      <c r="M21">
        <f t="shared" ca="1" si="1"/>
        <v>-2242</v>
      </c>
      <c r="N21">
        <f t="shared" si="2"/>
        <v>4400</v>
      </c>
      <c r="O2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17-SC2Aid-Par28/8</v>
      </c>
    </row>
    <row r="22" spans="1:15" x14ac:dyDescent="0.3">
      <c r="A22" t="s">
        <v>19</v>
      </c>
      <c r="B22" t="s">
        <v>48</v>
      </c>
      <c r="C22" s="1">
        <v>42975</v>
      </c>
      <c r="D22" t="s">
        <v>20</v>
      </c>
      <c r="E22">
        <v>156</v>
      </c>
      <c r="F22">
        <f>IFERROR(VLOOKUP(E22,Margins!$A:$B,2,TRUE),"")</f>
        <v>0.15</v>
      </c>
      <c r="G22">
        <f t="shared" si="0"/>
        <v>11700</v>
      </c>
      <c r="H22" t="s">
        <v>64</v>
      </c>
      <c r="I22">
        <v>500</v>
      </c>
      <c r="J22">
        <f>IF(Table1[[#This Row],[Tickets Sold]]&gt;500,8,5)</f>
        <v>5</v>
      </c>
      <c r="K22">
        <v>255</v>
      </c>
      <c r="L22" t="str">
        <f>VLOOKUP(H22,Descriptions!A:B, 2, FALSE)</f>
        <v>Seating Cat. 3</v>
      </c>
      <c r="M22">
        <f t="shared" ca="1" si="1"/>
        <v>-2242</v>
      </c>
      <c r="N22">
        <f t="shared" si="2"/>
        <v>5967</v>
      </c>
      <c r="O2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17-SC3Aid-Par28/8</v>
      </c>
    </row>
    <row r="23" spans="1:15" x14ac:dyDescent="0.3">
      <c r="A23" t="s">
        <v>19</v>
      </c>
      <c r="B23" t="s">
        <v>48</v>
      </c>
      <c r="C23" s="1">
        <v>42975</v>
      </c>
      <c r="D23" t="s">
        <v>20</v>
      </c>
      <c r="E23">
        <v>26</v>
      </c>
      <c r="F23">
        <f>IFERROR(VLOOKUP(E23,Margins!$A:$B,2,TRUE),"")</f>
        <v>7.0000000000000007E-2</v>
      </c>
      <c r="G23">
        <f t="shared" si="0"/>
        <v>161.98000000000002</v>
      </c>
      <c r="H23" t="s">
        <v>67</v>
      </c>
      <c r="I23">
        <v>89</v>
      </c>
      <c r="J23">
        <f>IF(Table1[[#This Row],[Tickets Sold]]&gt;500,8,5)</f>
        <v>5</v>
      </c>
      <c r="K23">
        <v>51</v>
      </c>
      <c r="L23" t="str">
        <f>VLOOKUP(H23,Descriptions!A:B, 2, FALSE)</f>
        <v>Seating-disabled</v>
      </c>
      <c r="M23">
        <f t="shared" ca="1" si="1"/>
        <v>-2242</v>
      </c>
      <c r="N23">
        <f t="shared" si="2"/>
        <v>92.820000000000022</v>
      </c>
      <c r="O2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17-SCDAid-Par28/8</v>
      </c>
    </row>
    <row r="24" spans="1:15" x14ac:dyDescent="0.3">
      <c r="A24" t="s">
        <v>19</v>
      </c>
      <c r="B24" t="s">
        <v>48</v>
      </c>
      <c r="C24" s="1">
        <v>42975</v>
      </c>
      <c r="D24" t="s">
        <v>20</v>
      </c>
      <c r="E24">
        <v>187</v>
      </c>
      <c r="F24">
        <f>IFERROR(VLOOKUP(E24,Margins!$A:$B,2,TRUE),"")</f>
        <v>0.15</v>
      </c>
      <c r="G24">
        <f t="shared" si="0"/>
        <v>5610</v>
      </c>
      <c r="H24" t="s">
        <v>65</v>
      </c>
      <c r="I24">
        <v>200</v>
      </c>
      <c r="J24">
        <f>IF(Table1[[#This Row],[Tickets Sold]]&gt;500,8,5)</f>
        <v>5</v>
      </c>
      <c r="K24">
        <v>140</v>
      </c>
      <c r="L24" t="str">
        <f>VLOOKUP(H24,Descriptions!A:B, 2, FALSE)</f>
        <v>Ticket + Air travel Package</v>
      </c>
      <c r="M24">
        <f t="shared" ca="1" si="1"/>
        <v>-2242</v>
      </c>
      <c r="N24">
        <f t="shared" si="2"/>
        <v>3927</v>
      </c>
      <c r="O2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17-TA1Aid-Par28/8</v>
      </c>
    </row>
    <row r="25" spans="1:15" x14ac:dyDescent="0.3">
      <c r="A25" t="s">
        <v>19</v>
      </c>
      <c r="B25" t="s">
        <v>48</v>
      </c>
      <c r="C25" s="1">
        <v>42975</v>
      </c>
      <c r="D25" t="s">
        <v>20</v>
      </c>
      <c r="E25">
        <v>334</v>
      </c>
      <c r="F25">
        <f>IFERROR(VLOOKUP(E25,Margins!$A:$B,2,TRUE),"")</f>
        <v>0.25</v>
      </c>
      <c r="G25">
        <f t="shared" si="0"/>
        <v>25050</v>
      </c>
      <c r="H25" t="s">
        <v>66</v>
      </c>
      <c r="I25">
        <v>300</v>
      </c>
      <c r="J25">
        <f>IF(Table1[[#This Row],[Tickets Sold]]&gt;500,8,5)</f>
        <v>5</v>
      </c>
      <c r="K25">
        <v>222</v>
      </c>
      <c r="L25" t="str">
        <f>VLOOKUP(H25,Descriptions!A:B, 2, FALSE)</f>
        <v>Ticket + Air travel + Hotel Package</v>
      </c>
      <c r="M25">
        <f t="shared" ca="1" si="1"/>
        <v>-2242</v>
      </c>
      <c r="N25">
        <f t="shared" si="2"/>
        <v>18537</v>
      </c>
      <c r="O2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17-TA2Aid-Par28/8</v>
      </c>
    </row>
    <row r="26" spans="1:15" x14ac:dyDescent="0.3">
      <c r="A26" t="s">
        <v>7</v>
      </c>
      <c r="B26" t="s">
        <v>2</v>
      </c>
      <c r="C26" s="1">
        <v>42912</v>
      </c>
      <c r="D26" t="s">
        <v>3</v>
      </c>
      <c r="E26">
        <v>58</v>
      </c>
      <c r="F26">
        <f>IFERROR(VLOOKUP(E26,Margins!$A:$B,2,TRUE),"")</f>
        <v>0.1</v>
      </c>
      <c r="G26">
        <f t="shared" si="0"/>
        <v>4408.0000000000009</v>
      </c>
      <c r="H26" t="s">
        <v>62</v>
      </c>
      <c r="I26">
        <v>760</v>
      </c>
      <c r="J26">
        <f>IF(Table1[[#This Row],[Tickets Sold]]&gt;500,8,5)</f>
        <v>5</v>
      </c>
      <c r="K26">
        <v>403</v>
      </c>
      <c r="L26" t="str">
        <f>VLOOKUP(H26,Descriptions!A:B, 2, FALSE)</f>
        <v>Seating Cat. 1</v>
      </c>
      <c r="M26">
        <f t="shared" ca="1" si="1"/>
        <v>-2287</v>
      </c>
      <c r="N26">
        <f t="shared" si="2"/>
        <v>2337.4</v>
      </c>
      <c r="O2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17-SC1Bea-Vie26/6</v>
      </c>
    </row>
    <row r="27" spans="1:15" x14ac:dyDescent="0.3">
      <c r="A27" t="s">
        <v>7</v>
      </c>
      <c r="B27" t="s">
        <v>2</v>
      </c>
      <c r="C27" s="1">
        <v>42918</v>
      </c>
      <c r="D27" t="s">
        <v>3</v>
      </c>
      <c r="E27">
        <v>80</v>
      </c>
      <c r="F27">
        <f>IFERROR(VLOOKUP(E27,Margins!$A:$B,2,TRUE),"")</f>
        <v>0.1</v>
      </c>
      <c r="G27">
        <f t="shared" si="0"/>
        <v>2800</v>
      </c>
      <c r="H27" t="s">
        <v>63</v>
      </c>
      <c r="I27">
        <v>350</v>
      </c>
      <c r="J27">
        <f>IF(Table1[[#This Row],[Tickets Sold]]&gt;500,8,5)</f>
        <v>5</v>
      </c>
      <c r="K27">
        <v>217</v>
      </c>
      <c r="L27" t="str">
        <f>VLOOKUP(H27,Descriptions!A:B, 2, FALSE)</f>
        <v>Seating Cat. 2</v>
      </c>
      <c r="M27">
        <f t="shared" ca="1" si="1"/>
        <v>-2282</v>
      </c>
      <c r="N27">
        <f t="shared" si="2"/>
        <v>1736</v>
      </c>
      <c r="O2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17-SC2Bea-Vie2/7</v>
      </c>
    </row>
    <row r="28" spans="1:15" x14ac:dyDescent="0.3">
      <c r="A28" t="s">
        <v>7</v>
      </c>
      <c r="B28" t="s">
        <v>2</v>
      </c>
      <c r="C28" s="1">
        <v>42922</v>
      </c>
      <c r="D28" t="s">
        <v>3</v>
      </c>
      <c r="E28">
        <v>24</v>
      </c>
      <c r="F28">
        <f>IFERROR(VLOOKUP(E28,Margins!$A:$B,2,TRUE),"")</f>
        <v>7.0000000000000007E-2</v>
      </c>
      <c r="G28">
        <f t="shared" si="0"/>
        <v>168.00000000000003</v>
      </c>
      <c r="H28" t="s">
        <v>11</v>
      </c>
      <c r="I28">
        <v>100</v>
      </c>
      <c r="J28">
        <f>IF(Table1[[#This Row],[Tickets Sold]]&gt;500,8,5)</f>
        <v>5</v>
      </c>
      <c r="K28">
        <v>87</v>
      </c>
      <c r="L28" t="str">
        <f>VLOOKUP(H28,Descriptions!A:B, 2, FALSE)</f>
        <v>Parking place</v>
      </c>
      <c r="M28">
        <f t="shared" ca="1" si="1"/>
        <v>-2280</v>
      </c>
      <c r="N28">
        <f t="shared" si="2"/>
        <v>146.16000000000003</v>
      </c>
      <c r="O2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17-POSBea-Vie6/7</v>
      </c>
    </row>
    <row r="29" spans="1:15" x14ac:dyDescent="0.3">
      <c r="A29" t="s">
        <v>7</v>
      </c>
      <c r="B29" t="s">
        <v>51</v>
      </c>
      <c r="C29" s="1">
        <v>42951</v>
      </c>
      <c r="D29" t="s">
        <v>3</v>
      </c>
      <c r="E29">
        <v>52</v>
      </c>
      <c r="F29">
        <f>IFERROR(VLOOKUP(E29,Margins!$A:$B,2,TRUE),"")</f>
        <v>0.1</v>
      </c>
      <c r="G29">
        <f t="shared" si="0"/>
        <v>3608.8</v>
      </c>
      <c r="H29" t="s">
        <v>62</v>
      </c>
      <c r="I29">
        <v>694</v>
      </c>
      <c r="J29">
        <f>IF(Table1[[#This Row],[Tickets Sold]]&gt;500,8,5)</f>
        <v>5</v>
      </c>
      <c r="K29">
        <v>424</v>
      </c>
      <c r="L29" t="str">
        <f>VLOOKUP(H29,Descriptions!A:B, 2, FALSE)</f>
        <v>Seating Cat. 1</v>
      </c>
      <c r="M29">
        <f t="shared" ca="1" si="1"/>
        <v>-2259</v>
      </c>
      <c r="N29">
        <f t="shared" si="2"/>
        <v>2204.8000000000002</v>
      </c>
      <c r="O2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17-SC1Bea-Bar4/8</v>
      </c>
    </row>
    <row r="30" spans="1:15" x14ac:dyDescent="0.3">
      <c r="A30" t="s">
        <v>7</v>
      </c>
      <c r="B30" t="s">
        <v>51</v>
      </c>
      <c r="C30" s="1">
        <v>42951</v>
      </c>
      <c r="D30" t="s">
        <v>3</v>
      </c>
      <c r="E30">
        <v>116</v>
      </c>
      <c r="F30">
        <f>IFERROR(VLOOKUP(E30,Margins!$A:$B,2,TRUE),"")</f>
        <v>0.15</v>
      </c>
      <c r="G30">
        <f t="shared" si="0"/>
        <v>8352</v>
      </c>
      <c r="H30" t="s">
        <v>63</v>
      </c>
      <c r="I30">
        <v>480</v>
      </c>
      <c r="J30">
        <f>IF(Table1[[#This Row],[Tickets Sold]]&gt;500,8,5)</f>
        <v>5</v>
      </c>
      <c r="K30">
        <v>245</v>
      </c>
      <c r="L30" t="str">
        <f>VLOOKUP(H30,Descriptions!A:B, 2, FALSE)</f>
        <v>Seating Cat. 2</v>
      </c>
      <c r="M30">
        <f t="shared" ca="1" si="1"/>
        <v>-2259</v>
      </c>
      <c r="N30">
        <f t="shared" si="2"/>
        <v>4263</v>
      </c>
      <c r="O3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17-SC2Bea-Bar4/8</v>
      </c>
    </row>
    <row r="31" spans="1:15" x14ac:dyDescent="0.3">
      <c r="A31" t="s">
        <v>7</v>
      </c>
      <c r="B31" t="s">
        <v>52</v>
      </c>
      <c r="C31" s="1">
        <v>42957</v>
      </c>
      <c r="D31" t="s">
        <v>3</v>
      </c>
      <c r="E31">
        <v>65</v>
      </c>
      <c r="F31">
        <f>IFERROR(VLOOKUP(E31,Margins!$A:$B,2,TRUE),"")</f>
        <v>0.1</v>
      </c>
      <c r="G31">
        <f t="shared" si="0"/>
        <v>8190</v>
      </c>
      <c r="H31" t="s">
        <v>62</v>
      </c>
      <c r="I31">
        <v>1260</v>
      </c>
      <c r="J31">
        <f>IF(Table1[[#This Row],[Tickets Sold]]&gt;500,8,5)</f>
        <v>8</v>
      </c>
      <c r="K31">
        <v>1147</v>
      </c>
      <c r="L31" t="str">
        <f>VLOOKUP(H31,Descriptions!A:B, 2, FALSE)</f>
        <v>Seating Cat. 1</v>
      </c>
      <c r="M31">
        <f t="shared" ca="1" si="1"/>
        <v>-2255</v>
      </c>
      <c r="N31">
        <f t="shared" si="2"/>
        <v>7455.5</v>
      </c>
      <c r="O3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17-SC1Bea-Lon10/8</v>
      </c>
    </row>
    <row r="32" spans="1:15" x14ac:dyDescent="0.3">
      <c r="A32" t="s">
        <v>7</v>
      </c>
      <c r="B32" t="s">
        <v>52</v>
      </c>
      <c r="C32" s="1">
        <v>42957</v>
      </c>
      <c r="D32" t="s">
        <v>3</v>
      </c>
      <c r="E32">
        <v>95</v>
      </c>
      <c r="F32">
        <f>IFERROR(VLOOKUP(E32,Margins!$A:$B,2,TRUE),"")</f>
        <v>0.1</v>
      </c>
      <c r="G32">
        <f t="shared" si="0"/>
        <v>4655</v>
      </c>
      <c r="H32" t="s">
        <v>63</v>
      </c>
      <c r="I32">
        <v>490</v>
      </c>
      <c r="J32">
        <f>IF(Table1[[#This Row],[Tickets Sold]]&gt;500,8,5)</f>
        <v>5</v>
      </c>
      <c r="K32">
        <v>348</v>
      </c>
      <c r="L32" t="str">
        <f>VLOOKUP(H32,Descriptions!A:B, 2, FALSE)</f>
        <v>Seating Cat. 2</v>
      </c>
      <c r="M32">
        <f t="shared" ca="1" si="1"/>
        <v>-2255</v>
      </c>
      <c r="N32">
        <f t="shared" si="2"/>
        <v>3306</v>
      </c>
      <c r="O3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17-SC2Bea-Lon10/8</v>
      </c>
    </row>
    <row r="33" spans="1:15" x14ac:dyDescent="0.3">
      <c r="A33" t="s">
        <v>7</v>
      </c>
      <c r="B33" t="s">
        <v>52</v>
      </c>
      <c r="C33" s="1">
        <v>42957</v>
      </c>
      <c r="D33" t="s">
        <v>3</v>
      </c>
      <c r="E33">
        <v>298</v>
      </c>
      <c r="F33">
        <f>IFERROR(VLOOKUP(E33,Margins!$A:$B,2,TRUE),"")</f>
        <v>0.25</v>
      </c>
      <c r="G33">
        <f t="shared" si="0"/>
        <v>22350</v>
      </c>
      <c r="H33" t="s">
        <v>65</v>
      </c>
      <c r="I33">
        <v>300</v>
      </c>
      <c r="J33">
        <f>IF(Table1[[#This Row],[Tickets Sold]]&gt;500,8,5)</f>
        <v>5</v>
      </c>
      <c r="K33">
        <v>225</v>
      </c>
      <c r="L33" t="str">
        <f>VLOOKUP(H33,Descriptions!A:B, 2, FALSE)</f>
        <v>Ticket + Air travel Package</v>
      </c>
      <c r="M33">
        <f t="shared" ca="1" si="1"/>
        <v>-2255</v>
      </c>
      <c r="N33">
        <f t="shared" si="2"/>
        <v>16762.5</v>
      </c>
      <c r="O3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17-TA1Bea-Lon10/8</v>
      </c>
    </row>
    <row r="34" spans="1:15" x14ac:dyDescent="0.3">
      <c r="A34" t="s">
        <v>7</v>
      </c>
      <c r="B34" t="s">
        <v>52</v>
      </c>
      <c r="C34" s="1">
        <v>42957</v>
      </c>
      <c r="D34" t="s">
        <v>3</v>
      </c>
      <c r="E34">
        <v>337</v>
      </c>
      <c r="F34">
        <f>IFERROR(VLOOKUP(E34,Margins!$A:$B,2,TRUE),"")</f>
        <v>0.25</v>
      </c>
      <c r="G34">
        <f t="shared" si="0"/>
        <v>25275</v>
      </c>
      <c r="H34" t="s">
        <v>66</v>
      </c>
      <c r="I34">
        <v>300</v>
      </c>
      <c r="J34">
        <f>IF(Table1[[#This Row],[Tickets Sold]]&gt;500,8,5)</f>
        <v>5</v>
      </c>
      <c r="K34">
        <v>240</v>
      </c>
      <c r="L34" t="str">
        <f>VLOOKUP(H34,Descriptions!A:B, 2, FALSE)</f>
        <v>Ticket + Air travel + Hotel Package</v>
      </c>
      <c r="M34">
        <f t="shared" ca="1" si="1"/>
        <v>-2255</v>
      </c>
      <c r="N34">
        <f t="shared" si="2"/>
        <v>20220</v>
      </c>
      <c r="O3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17-TA2Bea-Lon10/8</v>
      </c>
    </row>
    <row r="35" spans="1:15" x14ac:dyDescent="0.3">
      <c r="A35" t="s">
        <v>7</v>
      </c>
      <c r="B35" t="s">
        <v>5</v>
      </c>
      <c r="C35" s="1">
        <v>42963</v>
      </c>
      <c r="D35" t="s">
        <v>3</v>
      </c>
      <c r="E35">
        <v>73</v>
      </c>
      <c r="F35">
        <f>IFERROR(VLOOKUP(E35,Margins!$A:$B,2,TRUE),"")</f>
        <v>0.1</v>
      </c>
      <c r="G35">
        <f t="shared" si="0"/>
        <v>7343.8000000000011</v>
      </c>
      <c r="H35" t="s">
        <v>62</v>
      </c>
      <c r="I35">
        <v>1006</v>
      </c>
      <c r="J35">
        <f>IF(Table1[[#This Row],[Tickets Sold]]&gt;500,8,5)</f>
        <v>8</v>
      </c>
      <c r="K35">
        <v>644</v>
      </c>
      <c r="L35" t="str">
        <f>VLOOKUP(H35,Descriptions!A:B, 2, FALSE)</f>
        <v>Seating Cat. 1</v>
      </c>
      <c r="M35">
        <f t="shared" ca="1" si="1"/>
        <v>-2251</v>
      </c>
      <c r="N35">
        <f t="shared" si="2"/>
        <v>4701.2000000000007</v>
      </c>
      <c r="O3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17-SC1Bea-Mad16/8</v>
      </c>
    </row>
    <row r="36" spans="1:15" x14ac:dyDescent="0.3">
      <c r="A36" t="s">
        <v>7</v>
      </c>
      <c r="B36" t="s">
        <v>5</v>
      </c>
      <c r="C36" s="1">
        <v>42963</v>
      </c>
      <c r="D36" t="s">
        <v>3</v>
      </c>
      <c r="E36">
        <v>80</v>
      </c>
      <c r="F36">
        <f>IFERROR(VLOOKUP(E36,Margins!$A:$B,2,TRUE),"")</f>
        <v>0.1</v>
      </c>
      <c r="G36">
        <f t="shared" si="0"/>
        <v>2768</v>
      </c>
      <c r="H36" t="s">
        <v>63</v>
      </c>
      <c r="I36">
        <v>346</v>
      </c>
      <c r="J36">
        <f>IF(Table1[[#This Row],[Tickets Sold]]&gt;500,8,5)</f>
        <v>5</v>
      </c>
      <c r="K36">
        <v>326</v>
      </c>
      <c r="L36" t="str">
        <f>VLOOKUP(H36,Descriptions!A:B, 2, FALSE)</f>
        <v>Seating Cat. 2</v>
      </c>
      <c r="M36">
        <f t="shared" ca="1" si="1"/>
        <v>-2251</v>
      </c>
      <c r="N36">
        <f t="shared" si="2"/>
        <v>2608</v>
      </c>
      <c r="O3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17-SC2Bea-Mad16/8</v>
      </c>
    </row>
    <row r="37" spans="1:15" x14ac:dyDescent="0.3">
      <c r="A37" t="s">
        <v>7</v>
      </c>
      <c r="B37" t="s">
        <v>5</v>
      </c>
      <c r="C37" s="1">
        <v>42963</v>
      </c>
      <c r="D37" t="s">
        <v>3</v>
      </c>
      <c r="E37">
        <v>32</v>
      </c>
      <c r="F37">
        <f>IFERROR(VLOOKUP(E37,Margins!$A:$B,2,TRUE),"")</f>
        <v>7.0000000000000007E-2</v>
      </c>
      <c r="G37">
        <f t="shared" si="0"/>
        <v>224.00000000000003</v>
      </c>
      <c r="H37" t="s">
        <v>11</v>
      </c>
      <c r="I37">
        <v>100</v>
      </c>
      <c r="J37">
        <f>IF(Table1[[#This Row],[Tickets Sold]]&gt;500,8,5)</f>
        <v>5</v>
      </c>
      <c r="K37">
        <v>72</v>
      </c>
      <c r="L37" t="str">
        <f>VLOOKUP(H37,Descriptions!A:B, 2, FALSE)</f>
        <v>Parking place</v>
      </c>
      <c r="M37">
        <f t="shared" ca="1" si="1"/>
        <v>-2251</v>
      </c>
      <c r="N37">
        <f t="shared" si="2"/>
        <v>161.28000000000003</v>
      </c>
      <c r="O3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17-POSBea-Mad16/8</v>
      </c>
    </row>
    <row r="38" spans="1:15" x14ac:dyDescent="0.3">
      <c r="A38" t="s">
        <v>7</v>
      </c>
      <c r="B38" t="s">
        <v>5</v>
      </c>
      <c r="C38" s="1">
        <v>42963</v>
      </c>
      <c r="D38" t="s">
        <v>3</v>
      </c>
      <c r="E38">
        <v>194</v>
      </c>
      <c r="F38">
        <f>IFERROR(VLOOKUP(E38,Margins!$A:$B,2,TRUE),"")</f>
        <v>0.15</v>
      </c>
      <c r="G38">
        <f t="shared" si="0"/>
        <v>5820</v>
      </c>
      <c r="H38" t="s">
        <v>65</v>
      </c>
      <c r="I38">
        <v>200</v>
      </c>
      <c r="J38">
        <f>IF(Table1[[#This Row],[Tickets Sold]]&gt;500,8,5)</f>
        <v>5</v>
      </c>
      <c r="K38">
        <v>136</v>
      </c>
      <c r="L38" t="str">
        <f>VLOOKUP(H38,Descriptions!A:B, 2, FALSE)</f>
        <v>Ticket + Air travel Package</v>
      </c>
      <c r="M38">
        <f t="shared" ca="1" si="1"/>
        <v>-2251</v>
      </c>
      <c r="N38">
        <f t="shared" si="2"/>
        <v>3957.6</v>
      </c>
      <c r="O3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17-TA1Bea-Mad16/8</v>
      </c>
    </row>
    <row r="39" spans="1:15" x14ac:dyDescent="0.3">
      <c r="A39" t="s">
        <v>7</v>
      </c>
      <c r="B39" t="s">
        <v>5</v>
      </c>
      <c r="C39" s="1">
        <v>42963</v>
      </c>
      <c r="D39" t="s">
        <v>3</v>
      </c>
      <c r="E39">
        <v>315</v>
      </c>
      <c r="F39">
        <f>IFERROR(VLOOKUP(E39,Margins!$A:$B,2,TRUE),"")</f>
        <v>0.25</v>
      </c>
      <c r="G39">
        <f t="shared" si="0"/>
        <v>23625</v>
      </c>
      <c r="H39" t="s">
        <v>66</v>
      </c>
      <c r="I39">
        <v>300</v>
      </c>
      <c r="J39">
        <f>IF(Table1[[#This Row],[Tickets Sold]]&gt;500,8,5)</f>
        <v>5</v>
      </c>
      <c r="K39">
        <v>204</v>
      </c>
      <c r="L39" t="str">
        <f>VLOOKUP(H39,Descriptions!A:B, 2, FALSE)</f>
        <v>Ticket + Air travel + Hotel Package</v>
      </c>
      <c r="M39">
        <f t="shared" ca="1" si="1"/>
        <v>-2251</v>
      </c>
      <c r="N39">
        <f t="shared" si="2"/>
        <v>16065</v>
      </c>
      <c r="O3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17-TA2Bea-Mad16/8</v>
      </c>
    </row>
    <row r="40" spans="1:15" x14ac:dyDescent="0.3">
      <c r="A40" t="s">
        <v>7</v>
      </c>
      <c r="B40" t="s">
        <v>53</v>
      </c>
      <c r="C40" s="1">
        <v>42968</v>
      </c>
      <c r="D40" t="s">
        <v>3</v>
      </c>
      <c r="E40">
        <v>53</v>
      </c>
      <c r="F40">
        <f>IFERROR(VLOOKUP(E40,Margins!$A:$B,2,TRUE),"")</f>
        <v>0.1</v>
      </c>
      <c r="G40">
        <f t="shared" si="0"/>
        <v>4536.8</v>
      </c>
      <c r="H40" t="s">
        <v>62</v>
      </c>
      <c r="I40">
        <v>856</v>
      </c>
      <c r="J40">
        <f>IF(Table1[[#This Row],[Tickets Sold]]&gt;500,8,5)</f>
        <v>8</v>
      </c>
      <c r="K40">
        <v>583</v>
      </c>
      <c r="L40" t="str">
        <f>VLOOKUP(H40,Descriptions!A:B, 2, FALSE)</f>
        <v>Seating Cat. 1</v>
      </c>
      <c r="M40">
        <f t="shared" ca="1" si="1"/>
        <v>-2247</v>
      </c>
      <c r="N40">
        <f t="shared" si="2"/>
        <v>3089.9000000000005</v>
      </c>
      <c r="O4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17-SC1Bea-Ham21/8</v>
      </c>
    </row>
    <row r="41" spans="1:15" x14ac:dyDescent="0.3">
      <c r="A41" t="s">
        <v>7</v>
      </c>
      <c r="B41" t="s">
        <v>53</v>
      </c>
      <c r="C41" s="1">
        <v>42968</v>
      </c>
      <c r="D41" t="s">
        <v>3</v>
      </c>
      <c r="E41">
        <v>111</v>
      </c>
      <c r="F41">
        <f>IFERROR(VLOOKUP(E41,Margins!$A:$B,2,TRUE),"")</f>
        <v>0.15</v>
      </c>
      <c r="G41">
        <f t="shared" si="0"/>
        <v>8025.2999999999993</v>
      </c>
      <c r="H41" t="s">
        <v>63</v>
      </c>
      <c r="I41">
        <v>482</v>
      </c>
      <c r="J41">
        <f>IF(Table1[[#This Row],[Tickets Sold]]&gt;500,8,5)</f>
        <v>5</v>
      </c>
      <c r="K41">
        <v>261</v>
      </c>
      <c r="L41" t="str">
        <f>VLOOKUP(H41,Descriptions!A:B, 2, FALSE)</f>
        <v>Seating Cat. 2</v>
      </c>
      <c r="M41">
        <f t="shared" ca="1" si="1"/>
        <v>-2247</v>
      </c>
      <c r="N41">
        <f t="shared" si="2"/>
        <v>4345.6499999999996</v>
      </c>
      <c r="O4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17-SC2Bea-Ham21/8</v>
      </c>
    </row>
    <row r="42" spans="1:15" x14ac:dyDescent="0.3">
      <c r="A42" t="s">
        <v>7</v>
      </c>
      <c r="B42" t="s">
        <v>53</v>
      </c>
      <c r="C42" s="1">
        <v>42968</v>
      </c>
      <c r="D42" t="s">
        <v>3</v>
      </c>
      <c r="E42">
        <v>221</v>
      </c>
      <c r="F42">
        <f>IFERROR(VLOOKUP(E42,Margins!$A:$B,2,TRUE),"")</f>
        <v>0.25</v>
      </c>
      <c r="G42">
        <f t="shared" si="0"/>
        <v>16575</v>
      </c>
      <c r="H42" t="s">
        <v>65</v>
      </c>
      <c r="I42">
        <v>300</v>
      </c>
      <c r="J42">
        <f>IF(Table1[[#This Row],[Tickets Sold]]&gt;500,8,5)</f>
        <v>5</v>
      </c>
      <c r="K42">
        <v>246</v>
      </c>
      <c r="L42" t="str">
        <f>VLOOKUP(H42,Descriptions!A:B, 2, FALSE)</f>
        <v>Ticket + Air travel Package</v>
      </c>
      <c r="M42">
        <f t="shared" ca="1" si="1"/>
        <v>-2247</v>
      </c>
      <c r="N42">
        <f t="shared" si="2"/>
        <v>13591.5</v>
      </c>
      <c r="O4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17-TA1Bea-Ham21/8</v>
      </c>
    </row>
    <row r="43" spans="1:15" x14ac:dyDescent="0.3">
      <c r="A43" t="s">
        <v>7</v>
      </c>
      <c r="B43" t="s">
        <v>53</v>
      </c>
      <c r="C43" s="1">
        <v>42968</v>
      </c>
      <c r="D43" t="s">
        <v>3</v>
      </c>
      <c r="E43">
        <v>327</v>
      </c>
      <c r="F43">
        <f>IFERROR(VLOOKUP(E43,Margins!$A:$B,2,TRUE),"")</f>
        <v>0.25</v>
      </c>
      <c r="G43">
        <f t="shared" si="0"/>
        <v>24525</v>
      </c>
      <c r="H43" t="s">
        <v>66</v>
      </c>
      <c r="I43">
        <v>300</v>
      </c>
      <c r="J43">
        <f>IF(Table1[[#This Row],[Tickets Sold]]&gt;500,8,5)</f>
        <v>5</v>
      </c>
      <c r="K43">
        <v>150</v>
      </c>
      <c r="L43" t="str">
        <f>VLOOKUP(H43,Descriptions!A:B, 2, FALSE)</f>
        <v>Ticket + Air travel + Hotel Package</v>
      </c>
      <c r="M43">
        <f t="shared" ca="1" si="1"/>
        <v>-2247</v>
      </c>
      <c r="N43">
        <f t="shared" si="2"/>
        <v>12262.5</v>
      </c>
      <c r="O4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17-TA2Bea-Ham21/8</v>
      </c>
    </row>
    <row r="44" spans="1:15" x14ac:dyDescent="0.3">
      <c r="A44" t="s">
        <v>7</v>
      </c>
      <c r="B44" t="s">
        <v>50</v>
      </c>
      <c r="C44" s="1">
        <v>42970</v>
      </c>
      <c r="D44" t="s">
        <v>3</v>
      </c>
      <c r="E44">
        <v>52</v>
      </c>
      <c r="F44">
        <f>IFERROR(VLOOKUP(E44,Margins!$A:$B,2,TRUE),"")</f>
        <v>0.1</v>
      </c>
      <c r="G44">
        <f t="shared" si="0"/>
        <v>4056</v>
      </c>
      <c r="H44" t="s">
        <v>62</v>
      </c>
      <c r="I44">
        <v>780</v>
      </c>
      <c r="J44">
        <f>IF(Table1[[#This Row],[Tickets Sold]]&gt;500,8,5)</f>
        <v>5</v>
      </c>
      <c r="K44">
        <v>445</v>
      </c>
      <c r="L44" t="str">
        <f>VLOOKUP(H44,Descriptions!A:B, 2, FALSE)</f>
        <v>Seating Cat. 1</v>
      </c>
      <c r="M44">
        <f t="shared" ca="1" si="1"/>
        <v>-2246</v>
      </c>
      <c r="N44">
        <f t="shared" si="2"/>
        <v>2314</v>
      </c>
      <c r="O4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17-SC1Bea-Lyo23/8</v>
      </c>
    </row>
    <row r="45" spans="1:15" x14ac:dyDescent="0.3">
      <c r="A45" t="s">
        <v>7</v>
      </c>
      <c r="B45" t="s">
        <v>50</v>
      </c>
      <c r="C45" s="1">
        <v>42970</v>
      </c>
      <c r="D45" t="s">
        <v>3</v>
      </c>
      <c r="E45">
        <v>102</v>
      </c>
      <c r="F45">
        <f>IFERROR(VLOOKUP(E45,Margins!$A:$B,2,TRUE),"")</f>
        <v>0.15</v>
      </c>
      <c r="G45">
        <f t="shared" si="0"/>
        <v>6471.9</v>
      </c>
      <c r="H45" t="s">
        <v>63</v>
      </c>
      <c r="I45">
        <v>423</v>
      </c>
      <c r="J45">
        <f>IF(Table1[[#This Row],[Tickets Sold]]&gt;500,8,5)</f>
        <v>5</v>
      </c>
      <c r="K45">
        <v>318</v>
      </c>
      <c r="L45" t="str">
        <f>VLOOKUP(H45,Descriptions!A:B, 2, FALSE)</f>
        <v>Seating Cat. 2</v>
      </c>
      <c r="M45">
        <f t="shared" ca="1" si="1"/>
        <v>-2246</v>
      </c>
      <c r="N45">
        <f t="shared" si="2"/>
        <v>4865.3999999999996</v>
      </c>
      <c r="O4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17-SC2Bea-Lyo23/8</v>
      </c>
    </row>
    <row r="46" spans="1:15" x14ac:dyDescent="0.3">
      <c r="A46" t="s">
        <v>7</v>
      </c>
      <c r="B46" t="s">
        <v>50</v>
      </c>
      <c r="C46" s="1">
        <v>42970</v>
      </c>
      <c r="D46" t="s">
        <v>3</v>
      </c>
      <c r="E46">
        <v>18</v>
      </c>
      <c r="F46">
        <f>IFERROR(VLOOKUP(E46,Margins!$A:$B,2,TRUE),"")</f>
        <v>7.0000000000000007E-2</v>
      </c>
      <c r="G46">
        <f t="shared" si="0"/>
        <v>88.200000000000017</v>
      </c>
      <c r="H46" t="s">
        <v>11</v>
      </c>
      <c r="I46">
        <v>70</v>
      </c>
      <c r="J46">
        <f>IF(Table1[[#This Row],[Tickets Sold]]&gt;500,8,5)</f>
        <v>5</v>
      </c>
      <c r="K46">
        <v>40</v>
      </c>
      <c r="L46" t="str">
        <f>VLOOKUP(H46,Descriptions!A:B, 2, FALSE)</f>
        <v>Parking place</v>
      </c>
      <c r="M46">
        <f t="shared" ca="1" si="1"/>
        <v>-2246</v>
      </c>
      <c r="N46">
        <f t="shared" si="2"/>
        <v>50.400000000000006</v>
      </c>
      <c r="O4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17-POSBea-Lyo23/8</v>
      </c>
    </row>
    <row r="47" spans="1:15" x14ac:dyDescent="0.3">
      <c r="A47" t="s">
        <v>7</v>
      </c>
      <c r="B47" t="s">
        <v>50</v>
      </c>
      <c r="C47" s="1">
        <v>42970</v>
      </c>
      <c r="D47" t="s">
        <v>3</v>
      </c>
      <c r="E47">
        <v>285</v>
      </c>
      <c r="F47">
        <f>IFERROR(VLOOKUP(E47,Margins!$A:$B,2,TRUE),"")</f>
        <v>0.25</v>
      </c>
      <c r="G47">
        <f t="shared" si="0"/>
        <v>28500</v>
      </c>
      <c r="H47" t="s">
        <v>65</v>
      </c>
      <c r="I47">
        <v>400</v>
      </c>
      <c r="J47">
        <f>IF(Table1[[#This Row],[Tickets Sold]]&gt;500,8,5)</f>
        <v>5</v>
      </c>
      <c r="K47">
        <v>356</v>
      </c>
      <c r="L47" t="str">
        <f>VLOOKUP(H47,Descriptions!A:B, 2, FALSE)</f>
        <v>Ticket + Air travel Package</v>
      </c>
      <c r="M47">
        <f t="shared" ca="1" si="1"/>
        <v>-2246</v>
      </c>
      <c r="N47">
        <f t="shared" si="2"/>
        <v>25365</v>
      </c>
      <c r="O4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17-TA1Bea-Lyo23/8</v>
      </c>
    </row>
    <row r="48" spans="1:15" x14ac:dyDescent="0.3">
      <c r="A48" t="s">
        <v>7</v>
      </c>
      <c r="B48" t="s">
        <v>50</v>
      </c>
      <c r="C48" s="1">
        <v>42970</v>
      </c>
      <c r="D48" t="s">
        <v>3</v>
      </c>
      <c r="E48">
        <v>365</v>
      </c>
      <c r="F48">
        <f>IFERROR(VLOOKUP(E48,Margins!$A:$B,2,TRUE),"")</f>
        <v>0.25</v>
      </c>
      <c r="G48">
        <f t="shared" si="0"/>
        <v>27375</v>
      </c>
      <c r="H48" t="s">
        <v>66</v>
      </c>
      <c r="I48">
        <v>300</v>
      </c>
      <c r="J48">
        <f>IF(Table1[[#This Row],[Tickets Sold]]&gt;500,8,5)</f>
        <v>5</v>
      </c>
      <c r="K48">
        <v>210</v>
      </c>
      <c r="L48" t="str">
        <f>VLOOKUP(H48,Descriptions!A:B, 2, FALSE)</f>
        <v>Ticket + Air travel + Hotel Package</v>
      </c>
      <c r="M48">
        <f t="shared" ca="1" si="1"/>
        <v>-2246</v>
      </c>
      <c r="N48">
        <f t="shared" si="2"/>
        <v>19162.5</v>
      </c>
      <c r="O4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17-TA2Bea-Lyo23/8</v>
      </c>
    </row>
    <row r="49" spans="1:15" x14ac:dyDescent="0.3">
      <c r="A49" t="s">
        <v>36</v>
      </c>
      <c r="B49" t="s">
        <v>51</v>
      </c>
      <c r="C49" s="1">
        <v>42953</v>
      </c>
      <c r="D49" t="s">
        <v>79</v>
      </c>
      <c r="E49">
        <v>45</v>
      </c>
      <c r="F49">
        <f>IFERROR(VLOOKUP(E49,Margins!$A:$B,2,TRUE),"")</f>
        <v>7.0000000000000007E-2</v>
      </c>
      <c r="G49">
        <f t="shared" si="0"/>
        <v>22642.200000000004</v>
      </c>
      <c r="H49" t="s">
        <v>68</v>
      </c>
      <c r="I49">
        <v>7188</v>
      </c>
      <c r="J49">
        <f>IF(Table1[[#This Row],[Tickets Sold]]&gt;500,8,5)</f>
        <v>8</v>
      </c>
      <c r="K49">
        <v>6254</v>
      </c>
      <c r="L49" t="str">
        <f>VLOOKUP(H49,Descriptions!A:B, 2, FALSE)</f>
        <v>General Admission (1 day)</v>
      </c>
      <c r="M49">
        <f t="shared" ca="1" si="1"/>
        <v>-2257</v>
      </c>
      <c r="N49">
        <f t="shared" si="2"/>
        <v>19700.100000000002</v>
      </c>
      <c r="O4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17-GA1Cor-Bar6/8</v>
      </c>
    </row>
    <row r="50" spans="1:15" x14ac:dyDescent="0.3">
      <c r="A50" t="s">
        <v>36</v>
      </c>
      <c r="B50" t="s">
        <v>51</v>
      </c>
      <c r="C50" s="1">
        <v>42953</v>
      </c>
      <c r="D50" t="s">
        <v>79</v>
      </c>
      <c r="E50">
        <v>37</v>
      </c>
      <c r="F50">
        <f>IFERROR(VLOOKUP(E50,Margins!$A:$B,2,TRUE),"")</f>
        <v>7.0000000000000007E-2</v>
      </c>
      <c r="G50">
        <f t="shared" si="0"/>
        <v>5112.6600000000008</v>
      </c>
      <c r="H50" t="s">
        <v>62</v>
      </c>
      <c r="I50">
        <v>1974</v>
      </c>
      <c r="J50">
        <f>IF(Table1[[#This Row],[Tickets Sold]]&gt;500,8,5)</f>
        <v>8</v>
      </c>
      <c r="K50">
        <v>1343</v>
      </c>
      <c r="L50" t="str">
        <f>VLOOKUP(H50,Descriptions!A:B, 2, FALSE)</f>
        <v>Seating Cat. 1</v>
      </c>
      <c r="M50">
        <f t="shared" ca="1" si="1"/>
        <v>-2257</v>
      </c>
      <c r="N50">
        <f t="shared" si="2"/>
        <v>3478.3700000000003</v>
      </c>
      <c r="O5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17-SC1Cor-Bar6/8</v>
      </c>
    </row>
    <row r="51" spans="1:15" x14ac:dyDescent="0.3">
      <c r="A51" t="s">
        <v>36</v>
      </c>
      <c r="B51" t="s">
        <v>51</v>
      </c>
      <c r="C51" s="1">
        <v>42953</v>
      </c>
      <c r="D51" t="s">
        <v>79</v>
      </c>
      <c r="E51">
        <v>194</v>
      </c>
      <c r="F51">
        <f>IFERROR(VLOOKUP(E51,Margins!$A:$B,2,TRUE),"")</f>
        <v>0.15</v>
      </c>
      <c r="G51">
        <f t="shared" si="0"/>
        <v>5820</v>
      </c>
      <c r="H51" t="s">
        <v>65</v>
      </c>
      <c r="I51">
        <v>200</v>
      </c>
      <c r="J51">
        <f>IF(Table1[[#This Row],[Tickets Sold]]&gt;500,8,5)</f>
        <v>5</v>
      </c>
      <c r="K51">
        <v>112</v>
      </c>
      <c r="L51" t="str">
        <f>VLOOKUP(H51,Descriptions!A:B, 2, FALSE)</f>
        <v>Ticket + Air travel Package</v>
      </c>
      <c r="M51">
        <f t="shared" ca="1" si="1"/>
        <v>-2257</v>
      </c>
      <c r="N51">
        <f t="shared" si="2"/>
        <v>3259.2</v>
      </c>
      <c r="O5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17-TA1Cor-Bar6/8</v>
      </c>
    </row>
    <row r="52" spans="1:15" x14ac:dyDescent="0.3">
      <c r="A52" t="s">
        <v>36</v>
      </c>
      <c r="B52" t="s">
        <v>51</v>
      </c>
      <c r="C52" s="1">
        <v>42953</v>
      </c>
      <c r="D52" t="s">
        <v>79</v>
      </c>
      <c r="E52">
        <v>348</v>
      </c>
      <c r="F52">
        <f>IFERROR(VLOOKUP(E52,Margins!$A:$B,2,TRUE),"")</f>
        <v>0.25</v>
      </c>
      <c r="G52">
        <f t="shared" si="0"/>
        <v>26100</v>
      </c>
      <c r="H52" t="s">
        <v>66</v>
      </c>
      <c r="I52">
        <v>300</v>
      </c>
      <c r="J52">
        <f>IF(Table1[[#This Row],[Tickets Sold]]&gt;500,8,5)</f>
        <v>5</v>
      </c>
      <c r="K52">
        <v>258</v>
      </c>
      <c r="L52" t="str">
        <f>VLOOKUP(H52,Descriptions!A:B, 2, FALSE)</f>
        <v>Ticket + Air travel + Hotel Package</v>
      </c>
      <c r="M52">
        <f t="shared" ca="1" si="1"/>
        <v>-2257</v>
      </c>
      <c r="N52">
        <f t="shared" si="2"/>
        <v>22446</v>
      </c>
      <c r="O5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17-TA2Cor-Bar6/8</v>
      </c>
    </row>
    <row r="53" spans="1:15" x14ac:dyDescent="0.3">
      <c r="A53" t="s">
        <v>37</v>
      </c>
      <c r="B53" t="s">
        <v>53</v>
      </c>
      <c r="C53" s="1">
        <v>42945</v>
      </c>
      <c r="D53" t="s">
        <v>79</v>
      </c>
      <c r="E53">
        <v>71</v>
      </c>
      <c r="F53">
        <f>IFERROR(VLOOKUP(E53,Margins!$A:$B,2,TRUE),"")</f>
        <v>0.1</v>
      </c>
      <c r="G53">
        <f t="shared" si="0"/>
        <v>95693.8</v>
      </c>
      <c r="H53" t="s">
        <v>68</v>
      </c>
      <c r="I53">
        <v>13478</v>
      </c>
      <c r="J53">
        <f>IF(Table1[[#This Row],[Tickets Sold]]&gt;500,8,5)</f>
        <v>8</v>
      </c>
      <c r="K53">
        <v>8222</v>
      </c>
      <c r="L53" t="str">
        <f>VLOOKUP(H53,Descriptions!A:B, 2, FALSE)</f>
        <v>General Admission (1 day)</v>
      </c>
      <c r="M53">
        <f t="shared" ca="1" si="1"/>
        <v>-2263</v>
      </c>
      <c r="N53">
        <f t="shared" si="2"/>
        <v>58376.200000000004</v>
      </c>
      <c r="O5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17-GA1Cor-Ham29/7</v>
      </c>
    </row>
    <row r="54" spans="1:15" x14ac:dyDescent="0.3">
      <c r="A54" t="s">
        <v>37</v>
      </c>
      <c r="B54" t="s">
        <v>53</v>
      </c>
      <c r="C54" s="1">
        <v>42945</v>
      </c>
      <c r="D54" t="s">
        <v>79</v>
      </c>
      <c r="E54">
        <v>70</v>
      </c>
      <c r="F54">
        <f>IFERROR(VLOOKUP(E54,Margins!$A:$B,2,TRUE),"")</f>
        <v>0.1</v>
      </c>
      <c r="G54">
        <f t="shared" si="0"/>
        <v>5194</v>
      </c>
      <c r="H54" t="s">
        <v>62</v>
      </c>
      <c r="I54">
        <v>742</v>
      </c>
      <c r="J54">
        <f>IF(Table1[[#This Row],[Tickets Sold]]&gt;500,8,5)</f>
        <v>5</v>
      </c>
      <c r="K54">
        <v>416</v>
      </c>
      <c r="L54" t="str">
        <f>VLOOKUP(H54,Descriptions!A:B, 2, FALSE)</f>
        <v>Seating Cat. 1</v>
      </c>
      <c r="M54">
        <f t="shared" ca="1" si="1"/>
        <v>-2263</v>
      </c>
      <c r="N54">
        <f t="shared" si="2"/>
        <v>2912</v>
      </c>
      <c r="O5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17-SC1Cor-Ham29/7</v>
      </c>
    </row>
    <row r="55" spans="1:15" x14ac:dyDescent="0.3">
      <c r="A55" t="s">
        <v>37</v>
      </c>
      <c r="B55" t="s">
        <v>53</v>
      </c>
      <c r="C55" s="1">
        <v>42945</v>
      </c>
      <c r="D55" t="s">
        <v>79</v>
      </c>
      <c r="E55">
        <v>241</v>
      </c>
      <c r="F55">
        <f>IFERROR(VLOOKUP(E55,Margins!$A:$B,2,TRUE),"")</f>
        <v>0.25</v>
      </c>
      <c r="G55">
        <f t="shared" si="0"/>
        <v>18075</v>
      </c>
      <c r="H55" t="s">
        <v>65</v>
      </c>
      <c r="I55">
        <v>300</v>
      </c>
      <c r="J55">
        <f>IF(Table1[[#This Row],[Tickets Sold]]&gt;500,8,5)</f>
        <v>5</v>
      </c>
      <c r="K55">
        <v>279</v>
      </c>
      <c r="L55" t="str">
        <f>VLOOKUP(H55,Descriptions!A:B, 2, FALSE)</f>
        <v>Ticket + Air travel Package</v>
      </c>
      <c r="M55">
        <f t="shared" ca="1" si="1"/>
        <v>-2263</v>
      </c>
      <c r="N55">
        <f t="shared" si="2"/>
        <v>16809.75</v>
      </c>
      <c r="O5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17-TA1Cor-Ham29/7</v>
      </c>
    </row>
    <row r="56" spans="1:15" x14ac:dyDescent="0.3">
      <c r="A56" t="s">
        <v>37</v>
      </c>
      <c r="B56" t="s">
        <v>53</v>
      </c>
      <c r="C56" s="1">
        <v>42945</v>
      </c>
      <c r="D56" t="s">
        <v>79</v>
      </c>
      <c r="E56">
        <v>315</v>
      </c>
      <c r="F56">
        <f>IFERROR(VLOOKUP(E56,Margins!$A:$B,2,TRUE),"")</f>
        <v>0.25</v>
      </c>
      <c r="G56">
        <f t="shared" si="0"/>
        <v>31500</v>
      </c>
      <c r="H56" t="s">
        <v>66</v>
      </c>
      <c r="I56">
        <v>400</v>
      </c>
      <c r="J56">
        <f>IF(Table1[[#This Row],[Tickets Sold]]&gt;500,8,5)</f>
        <v>5</v>
      </c>
      <c r="K56">
        <v>220</v>
      </c>
      <c r="L56" t="str">
        <f>VLOOKUP(H56,Descriptions!A:B, 2, FALSE)</f>
        <v>Ticket + Air travel + Hotel Package</v>
      </c>
      <c r="M56">
        <f t="shared" ca="1" si="1"/>
        <v>-2263</v>
      </c>
      <c r="N56">
        <f t="shared" si="2"/>
        <v>17325</v>
      </c>
      <c r="O5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17-TA2Cor-Ham29/7</v>
      </c>
    </row>
    <row r="57" spans="1:15" x14ac:dyDescent="0.3">
      <c r="A57" t="s">
        <v>37</v>
      </c>
      <c r="B57" t="s">
        <v>2</v>
      </c>
      <c r="C57" s="1">
        <v>42948</v>
      </c>
      <c r="D57" t="s">
        <v>79</v>
      </c>
      <c r="E57">
        <v>46</v>
      </c>
      <c r="F57">
        <f>IFERROR(VLOOKUP(E57,Margins!$A:$B,2,TRUE),"")</f>
        <v>7.0000000000000007E-2</v>
      </c>
      <c r="G57">
        <f t="shared" si="0"/>
        <v>30966.74</v>
      </c>
      <c r="H57" t="s">
        <v>68</v>
      </c>
      <c r="I57">
        <v>9617</v>
      </c>
      <c r="J57">
        <f>IF(Table1[[#This Row],[Tickets Sold]]&gt;500,8,5)</f>
        <v>8</v>
      </c>
      <c r="K57">
        <v>7502</v>
      </c>
      <c r="L57" t="str">
        <f>VLOOKUP(H57,Descriptions!A:B, 2, FALSE)</f>
        <v>General Admission (1 day)</v>
      </c>
      <c r="M57">
        <f t="shared" ca="1" si="1"/>
        <v>-2262</v>
      </c>
      <c r="N57">
        <f t="shared" si="2"/>
        <v>24156.440000000002</v>
      </c>
      <c r="O5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17-GA1Cor-Vie1/8</v>
      </c>
    </row>
    <row r="58" spans="1:15" x14ac:dyDescent="0.3">
      <c r="A58" t="s">
        <v>37</v>
      </c>
      <c r="B58" t="s">
        <v>2</v>
      </c>
      <c r="C58" s="1">
        <v>42948</v>
      </c>
      <c r="D58" t="s">
        <v>79</v>
      </c>
      <c r="E58">
        <v>72</v>
      </c>
      <c r="F58">
        <f>IFERROR(VLOOKUP(E58,Margins!$A:$B,2,TRUE),"")</f>
        <v>0.1</v>
      </c>
      <c r="G58">
        <f t="shared" si="0"/>
        <v>4917.6000000000004</v>
      </c>
      <c r="H58" t="s">
        <v>62</v>
      </c>
      <c r="I58">
        <v>683</v>
      </c>
      <c r="J58">
        <f>IF(Table1[[#This Row],[Tickets Sold]]&gt;500,8,5)</f>
        <v>5</v>
      </c>
      <c r="K58">
        <v>485</v>
      </c>
      <c r="L58" t="str">
        <f>VLOOKUP(H58,Descriptions!A:B, 2, FALSE)</f>
        <v>Seating Cat. 1</v>
      </c>
      <c r="M58">
        <f t="shared" ca="1" si="1"/>
        <v>-2262</v>
      </c>
      <c r="N58">
        <f t="shared" si="2"/>
        <v>3492</v>
      </c>
      <c r="O5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17-SC1Cor-Vie1/8</v>
      </c>
    </row>
    <row r="59" spans="1:15" x14ac:dyDescent="0.3">
      <c r="A59" t="s">
        <v>37</v>
      </c>
      <c r="B59" t="s">
        <v>2</v>
      </c>
      <c r="C59" s="1">
        <v>42948</v>
      </c>
      <c r="D59" t="s">
        <v>79</v>
      </c>
      <c r="E59">
        <v>268</v>
      </c>
      <c r="F59">
        <f>IFERROR(VLOOKUP(E59,Margins!$A:$B,2,TRUE),"")</f>
        <v>0.25</v>
      </c>
      <c r="G59">
        <f t="shared" si="0"/>
        <v>20100</v>
      </c>
      <c r="H59" t="s">
        <v>65</v>
      </c>
      <c r="I59">
        <v>300</v>
      </c>
      <c r="J59">
        <f>IF(Table1[[#This Row],[Tickets Sold]]&gt;500,8,5)</f>
        <v>5</v>
      </c>
      <c r="K59">
        <v>240</v>
      </c>
      <c r="L59" t="str">
        <f>VLOOKUP(H59,Descriptions!A:B, 2, FALSE)</f>
        <v>Ticket + Air travel Package</v>
      </c>
      <c r="M59">
        <f t="shared" ca="1" si="1"/>
        <v>-2262</v>
      </c>
      <c r="N59">
        <f t="shared" si="2"/>
        <v>16080</v>
      </c>
      <c r="O5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17-TA1Cor-Vie1/8</v>
      </c>
    </row>
    <row r="60" spans="1:15" x14ac:dyDescent="0.3">
      <c r="A60" t="s">
        <v>37</v>
      </c>
      <c r="B60" t="s">
        <v>2</v>
      </c>
      <c r="C60" s="1">
        <v>42948</v>
      </c>
      <c r="D60" t="s">
        <v>79</v>
      </c>
      <c r="E60">
        <v>310</v>
      </c>
      <c r="F60">
        <f>IFERROR(VLOOKUP(E60,Margins!$A:$B,2,TRUE),"")</f>
        <v>0.25</v>
      </c>
      <c r="G60">
        <f t="shared" si="0"/>
        <v>15500</v>
      </c>
      <c r="H60" t="s">
        <v>66</v>
      </c>
      <c r="I60">
        <v>200</v>
      </c>
      <c r="J60">
        <f>IF(Table1[[#This Row],[Tickets Sold]]&gt;500,8,5)</f>
        <v>5</v>
      </c>
      <c r="K60">
        <v>170</v>
      </c>
      <c r="L60" t="str">
        <f>VLOOKUP(H60,Descriptions!A:B, 2, FALSE)</f>
        <v>Ticket + Air travel + Hotel Package</v>
      </c>
      <c r="M60">
        <f t="shared" ca="1" si="1"/>
        <v>-2262</v>
      </c>
      <c r="N60">
        <f t="shared" si="2"/>
        <v>13175</v>
      </c>
      <c r="O6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17-TA2Cor-Vie1/8</v>
      </c>
    </row>
    <row r="61" spans="1:15" x14ac:dyDescent="0.3">
      <c r="A61" t="s">
        <v>21</v>
      </c>
      <c r="B61" t="s">
        <v>54</v>
      </c>
      <c r="C61" s="1">
        <v>42888</v>
      </c>
      <c r="D61" t="s">
        <v>20</v>
      </c>
      <c r="E61">
        <v>45</v>
      </c>
      <c r="F61">
        <f>IFERROR(VLOOKUP(E61,Margins!$A:$B,2,TRUE),"")</f>
        <v>7.0000000000000007E-2</v>
      </c>
      <c r="G61">
        <f t="shared" si="0"/>
        <v>9261.0000000000018</v>
      </c>
      <c r="H61" t="s">
        <v>62</v>
      </c>
      <c r="I61">
        <v>2940</v>
      </c>
      <c r="J61">
        <f>IF(Table1[[#This Row],[Tickets Sold]]&gt;500,8,5)</f>
        <v>8</v>
      </c>
      <c r="K61">
        <v>2558</v>
      </c>
      <c r="L61" t="str">
        <f>VLOOKUP(H61,Descriptions!A:B, 2, FALSE)</f>
        <v>Seating Cat. 1</v>
      </c>
      <c r="M61">
        <f t="shared" ca="1" si="1"/>
        <v>-2304</v>
      </c>
      <c r="N61">
        <f t="shared" si="2"/>
        <v>8057.7000000000007</v>
      </c>
      <c r="O6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17-SC1Die-Ber2/6</v>
      </c>
    </row>
    <row r="62" spans="1:15" x14ac:dyDescent="0.3">
      <c r="A62" t="s">
        <v>21</v>
      </c>
      <c r="B62" t="s">
        <v>54</v>
      </c>
      <c r="C62" s="1">
        <v>42888</v>
      </c>
      <c r="D62" t="s">
        <v>20</v>
      </c>
      <c r="E62">
        <v>114</v>
      </c>
      <c r="F62">
        <f>IFERROR(VLOOKUP(E62,Margins!$A:$B,2,TRUE),"")</f>
        <v>0.15</v>
      </c>
      <c r="G62">
        <f t="shared" si="0"/>
        <v>14962.499999999998</v>
      </c>
      <c r="H62" t="s">
        <v>63</v>
      </c>
      <c r="I62">
        <v>875</v>
      </c>
      <c r="J62">
        <f>IF(Table1[[#This Row],[Tickets Sold]]&gt;500,8,5)</f>
        <v>8</v>
      </c>
      <c r="K62">
        <v>779</v>
      </c>
      <c r="L62" t="str">
        <f>VLOOKUP(H62,Descriptions!A:B, 2, FALSE)</f>
        <v>Seating Cat. 2</v>
      </c>
      <c r="M62">
        <f t="shared" ca="1" si="1"/>
        <v>-2304</v>
      </c>
      <c r="N62">
        <f t="shared" si="2"/>
        <v>13320.899999999998</v>
      </c>
      <c r="O6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17-SC2Die-Ber2/6</v>
      </c>
    </row>
    <row r="63" spans="1:15" x14ac:dyDescent="0.3">
      <c r="A63" t="s">
        <v>21</v>
      </c>
      <c r="B63" t="s">
        <v>54</v>
      </c>
      <c r="C63" s="1">
        <v>42888</v>
      </c>
      <c r="D63" t="s">
        <v>20</v>
      </c>
      <c r="E63">
        <v>224</v>
      </c>
      <c r="F63">
        <f>IFERROR(VLOOKUP(E63,Margins!$A:$B,2,TRUE),"")</f>
        <v>0.25</v>
      </c>
      <c r="G63">
        <f t="shared" si="0"/>
        <v>22400</v>
      </c>
      <c r="H63" t="s">
        <v>65</v>
      </c>
      <c r="I63">
        <v>400</v>
      </c>
      <c r="J63">
        <f>IF(Table1[[#This Row],[Tickets Sold]]&gt;500,8,5)</f>
        <v>5</v>
      </c>
      <c r="K63">
        <v>232</v>
      </c>
      <c r="L63" t="str">
        <f>VLOOKUP(H63,Descriptions!A:B, 2, FALSE)</f>
        <v>Ticket + Air travel Package</v>
      </c>
      <c r="M63">
        <f t="shared" ca="1" si="1"/>
        <v>-2304</v>
      </c>
      <c r="N63">
        <f t="shared" si="2"/>
        <v>12992</v>
      </c>
      <c r="O6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17-TA1Die-Ber2/6</v>
      </c>
    </row>
    <row r="64" spans="1:15" x14ac:dyDescent="0.3">
      <c r="A64" t="s">
        <v>21</v>
      </c>
      <c r="B64" t="s">
        <v>54</v>
      </c>
      <c r="C64" s="1">
        <v>42888</v>
      </c>
      <c r="D64" t="s">
        <v>20</v>
      </c>
      <c r="E64">
        <v>380</v>
      </c>
      <c r="F64">
        <f>IFERROR(VLOOKUP(E64,Margins!$A:$B,2,TRUE),"")</f>
        <v>0.25</v>
      </c>
      <c r="G64">
        <f t="shared" si="0"/>
        <v>28500</v>
      </c>
      <c r="H64" t="s">
        <v>66</v>
      </c>
      <c r="I64">
        <v>300</v>
      </c>
      <c r="J64">
        <f>IF(Table1[[#This Row],[Tickets Sold]]&gt;500,8,5)</f>
        <v>5</v>
      </c>
      <c r="K64">
        <v>153</v>
      </c>
      <c r="L64" t="str">
        <f>VLOOKUP(H64,Descriptions!A:B, 2, FALSE)</f>
        <v>Ticket + Air travel + Hotel Package</v>
      </c>
      <c r="M64">
        <f t="shared" ca="1" si="1"/>
        <v>-2304</v>
      </c>
      <c r="N64">
        <f t="shared" si="2"/>
        <v>14535</v>
      </c>
      <c r="O6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17-TA2Die-Ber2/6</v>
      </c>
    </row>
    <row r="65" spans="1:15" x14ac:dyDescent="0.3">
      <c r="A65" t="s">
        <v>21</v>
      </c>
      <c r="B65" t="s">
        <v>53</v>
      </c>
      <c r="C65" s="1">
        <v>42917</v>
      </c>
      <c r="D65" t="s">
        <v>20</v>
      </c>
      <c r="E65">
        <v>52</v>
      </c>
      <c r="F65">
        <f>IFERROR(VLOOKUP(E65,Margins!$A:$B,2,TRUE),"")</f>
        <v>0.1</v>
      </c>
      <c r="G65">
        <f t="shared" si="0"/>
        <v>9672</v>
      </c>
      <c r="H65" t="s">
        <v>62</v>
      </c>
      <c r="I65">
        <v>1860</v>
      </c>
      <c r="J65">
        <f>IF(Table1[[#This Row],[Tickets Sold]]&gt;500,8,5)</f>
        <v>8</v>
      </c>
      <c r="K65">
        <v>1433</v>
      </c>
      <c r="L65" t="str">
        <f>VLOOKUP(H65,Descriptions!A:B, 2, FALSE)</f>
        <v>Seating Cat. 1</v>
      </c>
      <c r="M65">
        <f t="shared" ca="1" si="1"/>
        <v>-2283</v>
      </c>
      <c r="N65">
        <f t="shared" si="2"/>
        <v>7451.6</v>
      </c>
      <c r="O6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17-SC1Die-Ham1/7</v>
      </c>
    </row>
    <row r="66" spans="1:15" x14ac:dyDescent="0.3">
      <c r="A66" t="s">
        <v>21</v>
      </c>
      <c r="B66" t="s">
        <v>53</v>
      </c>
      <c r="C66" s="1">
        <v>42917</v>
      </c>
      <c r="D66" t="s">
        <v>20</v>
      </c>
      <c r="E66">
        <v>74</v>
      </c>
      <c r="F66">
        <f>IFERROR(VLOOKUP(E66,Margins!$A:$B,2,TRUE),"")</f>
        <v>0.1</v>
      </c>
      <c r="G66">
        <f t="shared" ref="G66:G129" si="3">IFERROR(E66*F66*I66,"")</f>
        <v>8880</v>
      </c>
      <c r="H66" t="s">
        <v>63</v>
      </c>
      <c r="I66">
        <v>1200</v>
      </c>
      <c r="J66">
        <f>IF(Table1[[#This Row],[Tickets Sold]]&gt;500,8,5)</f>
        <v>8</v>
      </c>
      <c r="K66">
        <v>936</v>
      </c>
      <c r="L66" t="str">
        <f>VLOOKUP(H66,Descriptions!A:B, 2, FALSE)</f>
        <v>Seating Cat. 2</v>
      </c>
      <c r="M66">
        <f t="shared" ref="M66:M129" ca="1" si="4">NETWORKDAYS(TODAY(), C66-1)</f>
        <v>-2283</v>
      </c>
      <c r="N66">
        <f t="shared" si="2"/>
        <v>6926.4000000000005</v>
      </c>
      <c r="O6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17-SC2Die-Ham1/7</v>
      </c>
    </row>
    <row r="67" spans="1:15" x14ac:dyDescent="0.3">
      <c r="A67" t="s">
        <v>21</v>
      </c>
      <c r="B67" t="s">
        <v>53</v>
      </c>
      <c r="C67" s="1">
        <v>42917</v>
      </c>
      <c r="D67" t="s">
        <v>20</v>
      </c>
      <c r="E67">
        <v>189</v>
      </c>
      <c r="F67">
        <f>IFERROR(VLOOKUP(E67,Margins!$A:$B,2,TRUE),"")</f>
        <v>0.15</v>
      </c>
      <c r="G67">
        <f t="shared" si="3"/>
        <v>8505</v>
      </c>
      <c r="H67" t="s">
        <v>65</v>
      </c>
      <c r="I67">
        <v>300</v>
      </c>
      <c r="J67">
        <f>IF(Table1[[#This Row],[Tickets Sold]]&gt;500,8,5)</f>
        <v>5</v>
      </c>
      <c r="K67">
        <v>249</v>
      </c>
      <c r="L67" t="str">
        <f>VLOOKUP(H67,Descriptions!A:B, 2, FALSE)</f>
        <v>Ticket + Air travel Package</v>
      </c>
      <c r="M67">
        <f t="shared" ca="1" si="4"/>
        <v>-2283</v>
      </c>
      <c r="N67">
        <f t="shared" ref="N67:N130" si="5">E67*F67*K67</f>
        <v>7059.15</v>
      </c>
      <c r="O6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17-TA1Die-Ham1/7</v>
      </c>
    </row>
    <row r="68" spans="1:15" x14ac:dyDescent="0.3">
      <c r="A68" t="s">
        <v>21</v>
      </c>
      <c r="B68" t="s">
        <v>53</v>
      </c>
      <c r="C68" s="1">
        <v>42917</v>
      </c>
      <c r="D68" t="s">
        <v>20</v>
      </c>
      <c r="E68">
        <v>398</v>
      </c>
      <c r="F68">
        <f>IFERROR(VLOOKUP(E68,Margins!$A:$B,2,TRUE),"")</f>
        <v>0.25</v>
      </c>
      <c r="G68">
        <f t="shared" si="3"/>
        <v>39800</v>
      </c>
      <c r="H68" t="s">
        <v>66</v>
      </c>
      <c r="I68">
        <v>400</v>
      </c>
      <c r="J68">
        <f>IF(Table1[[#This Row],[Tickets Sold]]&gt;500,8,5)</f>
        <v>5</v>
      </c>
      <c r="K68">
        <v>200</v>
      </c>
      <c r="L68" t="str">
        <f>VLOOKUP(H68,Descriptions!A:B, 2, FALSE)</f>
        <v>Ticket + Air travel + Hotel Package</v>
      </c>
      <c r="M68">
        <f t="shared" ca="1" si="4"/>
        <v>-2283</v>
      </c>
      <c r="N68">
        <f t="shared" si="5"/>
        <v>19900</v>
      </c>
      <c r="O6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17-TA2Die-Ham1/7</v>
      </c>
    </row>
    <row r="69" spans="1:15" x14ac:dyDescent="0.3">
      <c r="A69" t="s">
        <v>21</v>
      </c>
      <c r="B69" t="s">
        <v>52</v>
      </c>
      <c r="C69" s="1">
        <v>42939</v>
      </c>
      <c r="D69" t="s">
        <v>20</v>
      </c>
      <c r="E69">
        <v>54</v>
      </c>
      <c r="F69">
        <f>IFERROR(VLOOKUP(E69,Margins!$A:$B,2,TRUE),"")</f>
        <v>0.1</v>
      </c>
      <c r="G69">
        <f t="shared" si="3"/>
        <v>18630</v>
      </c>
      <c r="H69" t="s">
        <v>62</v>
      </c>
      <c r="I69">
        <v>3450</v>
      </c>
      <c r="J69">
        <f>IF(Table1[[#This Row],[Tickets Sold]]&gt;500,8,5)</f>
        <v>8</v>
      </c>
      <c r="K69">
        <v>2864</v>
      </c>
      <c r="L69" t="str">
        <f>VLOOKUP(H69,Descriptions!A:B, 2, FALSE)</f>
        <v>Seating Cat. 1</v>
      </c>
      <c r="M69">
        <f t="shared" ca="1" si="4"/>
        <v>-2267</v>
      </c>
      <c r="N69">
        <f t="shared" si="5"/>
        <v>15465.6</v>
      </c>
      <c r="O6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17-SC1Die-Lon23/7</v>
      </c>
    </row>
    <row r="70" spans="1:15" x14ac:dyDescent="0.3">
      <c r="A70" t="s">
        <v>21</v>
      </c>
      <c r="B70" t="s">
        <v>52</v>
      </c>
      <c r="C70" s="1">
        <v>42939</v>
      </c>
      <c r="D70" t="s">
        <v>20</v>
      </c>
      <c r="E70">
        <v>74</v>
      </c>
      <c r="F70">
        <f>IFERROR(VLOOKUP(E70,Margins!$A:$B,2,TRUE),"")</f>
        <v>0.1</v>
      </c>
      <c r="G70">
        <f t="shared" si="3"/>
        <v>5905.2000000000007</v>
      </c>
      <c r="H70" t="s">
        <v>63</v>
      </c>
      <c r="I70">
        <v>798</v>
      </c>
      <c r="J70">
        <f>IF(Table1[[#This Row],[Tickets Sold]]&gt;500,8,5)</f>
        <v>8</v>
      </c>
      <c r="K70">
        <v>687</v>
      </c>
      <c r="L70" t="str">
        <f>VLOOKUP(H70,Descriptions!A:B, 2, FALSE)</f>
        <v>Seating Cat. 2</v>
      </c>
      <c r="M70">
        <f t="shared" ca="1" si="4"/>
        <v>-2267</v>
      </c>
      <c r="N70">
        <f t="shared" si="5"/>
        <v>5083.8</v>
      </c>
      <c r="O7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17-SC2Die-Lon23/7</v>
      </c>
    </row>
    <row r="71" spans="1:15" x14ac:dyDescent="0.3">
      <c r="A71" t="s">
        <v>21</v>
      </c>
      <c r="B71" t="s">
        <v>52</v>
      </c>
      <c r="C71" s="1">
        <v>42939</v>
      </c>
      <c r="D71" t="s">
        <v>20</v>
      </c>
      <c r="E71">
        <v>143</v>
      </c>
      <c r="F71">
        <f>IFERROR(VLOOKUP(E71,Margins!$A:$B,2,TRUE),"")</f>
        <v>0.15</v>
      </c>
      <c r="G71">
        <f t="shared" si="3"/>
        <v>10725</v>
      </c>
      <c r="H71" t="s">
        <v>64</v>
      </c>
      <c r="I71">
        <v>500</v>
      </c>
      <c r="J71">
        <f>IF(Table1[[#This Row],[Tickets Sold]]&gt;500,8,5)</f>
        <v>5</v>
      </c>
      <c r="K71">
        <v>330</v>
      </c>
      <c r="L71" t="str">
        <f>VLOOKUP(H71,Descriptions!A:B, 2, FALSE)</f>
        <v>Seating Cat. 3</v>
      </c>
      <c r="M71">
        <f t="shared" ca="1" si="4"/>
        <v>-2267</v>
      </c>
      <c r="N71">
        <f t="shared" si="5"/>
        <v>7078.5</v>
      </c>
      <c r="O7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17-SC3Die-Lon23/7</v>
      </c>
    </row>
    <row r="72" spans="1:15" x14ac:dyDescent="0.3">
      <c r="A72" t="s">
        <v>21</v>
      </c>
      <c r="B72" t="s">
        <v>52</v>
      </c>
      <c r="C72" s="1">
        <v>42939</v>
      </c>
      <c r="D72" t="s">
        <v>20</v>
      </c>
      <c r="E72">
        <v>29</v>
      </c>
      <c r="F72">
        <f>IFERROR(VLOOKUP(E72,Margins!$A:$B,2,TRUE),"")</f>
        <v>7.0000000000000007E-2</v>
      </c>
      <c r="G72">
        <f t="shared" si="3"/>
        <v>243.60000000000002</v>
      </c>
      <c r="H72" t="s">
        <v>67</v>
      </c>
      <c r="I72">
        <v>120</v>
      </c>
      <c r="J72">
        <f>IF(Table1[[#This Row],[Tickets Sold]]&gt;500,8,5)</f>
        <v>5</v>
      </c>
      <c r="K72">
        <v>76</v>
      </c>
      <c r="L72" t="str">
        <f>VLOOKUP(H72,Descriptions!A:B, 2, FALSE)</f>
        <v>Seating-disabled</v>
      </c>
      <c r="M72">
        <f t="shared" ca="1" si="4"/>
        <v>-2267</v>
      </c>
      <c r="N72">
        <f t="shared" si="5"/>
        <v>154.28000000000003</v>
      </c>
      <c r="O7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17-SCDDie-Lon23/7</v>
      </c>
    </row>
    <row r="73" spans="1:15" x14ac:dyDescent="0.3">
      <c r="A73" t="s">
        <v>21</v>
      </c>
      <c r="B73" t="s">
        <v>52</v>
      </c>
      <c r="C73" s="1">
        <v>42939</v>
      </c>
      <c r="D73" t="s">
        <v>20</v>
      </c>
      <c r="E73">
        <v>244</v>
      </c>
      <c r="F73">
        <f>IFERROR(VLOOKUP(E73,Margins!$A:$B,2,TRUE),"")</f>
        <v>0.25</v>
      </c>
      <c r="G73">
        <f t="shared" si="3"/>
        <v>12200</v>
      </c>
      <c r="H73" t="s">
        <v>65</v>
      </c>
      <c r="I73">
        <v>200</v>
      </c>
      <c r="J73">
        <f>IF(Table1[[#This Row],[Tickets Sold]]&gt;500,8,5)</f>
        <v>5</v>
      </c>
      <c r="K73">
        <v>160</v>
      </c>
      <c r="L73" t="str">
        <f>VLOOKUP(H73,Descriptions!A:B, 2, FALSE)</f>
        <v>Ticket + Air travel Package</v>
      </c>
      <c r="M73">
        <f t="shared" ca="1" si="4"/>
        <v>-2267</v>
      </c>
      <c r="N73">
        <f t="shared" si="5"/>
        <v>9760</v>
      </c>
      <c r="O7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17-TA1Die-Lon23/7</v>
      </c>
    </row>
    <row r="74" spans="1:15" x14ac:dyDescent="0.3">
      <c r="A74" t="s">
        <v>21</v>
      </c>
      <c r="B74" t="s">
        <v>52</v>
      </c>
      <c r="C74" s="1">
        <v>42939</v>
      </c>
      <c r="D74" t="s">
        <v>20</v>
      </c>
      <c r="E74">
        <v>349</v>
      </c>
      <c r="F74">
        <f>IFERROR(VLOOKUP(E74,Margins!$A:$B,2,TRUE),"")</f>
        <v>0.25</v>
      </c>
      <c r="G74">
        <f t="shared" si="3"/>
        <v>26175</v>
      </c>
      <c r="H74" t="s">
        <v>66</v>
      </c>
      <c r="I74">
        <v>300</v>
      </c>
      <c r="J74">
        <f>IF(Table1[[#This Row],[Tickets Sold]]&gt;500,8,5)</f>
        <v>5</v>
      </c>
      <c r="K74">
        <v>204</v>
      </c>
      <c r="L74" t="str">
        <f>VLOOKUP(H74,Descriptions!A:B, 2, FALSE)</f>
        <v>Ticket + Air travel + Hotel Package</v>
      </c>
      <c r="M74">
        <f t="shared" ca="1" si="4"/>
        <v>-2267</v>
      </c>
      <c r="N74">
        <f t="shared" si="5"/>
        <v>17799</v>
      </c>
      <c r="O7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17-TA2Die-Lon23/7</v>
      </c>
    </row>
    <row r="75" spans="1:15" x14ac:dyDescent="0.3">
      <c r="A75" t="s">
        <v>21</v>
      </c>
      <c r="B75" t="s">
        <v>55</v>
      </c>
      <c r="C75" s="1">
        <v>42941</v>
      </c>
      <c r="D75" t="s">
        <v>20</v>
      </c>
      <c r="E75">
        <v>31</v>
      </c>
      <c r="F75">
        <f>IFERROR(VLOOKUP(E75,Margins!$A:$B,2,TRUE),"")</f>
        <v>7.0000000000000007E-2</v>
      </c>
      <c r="G75">
        <f t="shared" si="3"/>
        <v>3255.0000000000005</v>
      </c>
      <c r="H75" t="s">
        <v>62</v>
      </c>
      <c r="I75">
        <v>1500</v>
      </c>
      <c r="J75">
        <f>IF(Table1[[#This Row],[Tickets Sold]]&gt;500,8,5)</f>
        <v>8</v>
      </c>
      <c r="K75">
        <v>1065</v>
      </c>
      <c r="L75" t="str">
        <f>VLOOKUP(H75,Descriptions!A:B, 2, FALSE)</f>
        <v>Seating Cat. 1</v>
      </c>
      <c r="M75">
        <f t="shared" ca="1" si="4"/>
        <v>-2267</v>
      </c>
      <c r="N75">
        <f t="shared" si="5"/>
        <v>2311.0500000000002</v>
      </c>
      <c r="O7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17-SC1Die-Zur25/7</v>
      </c>
    </row>
    <row r="76" spans="1:15" x14ac:dyDescent="0.3">
      <c r="A76" t="s">
        <v>21</v>
      </c>
      <c r="B76" t="s">
        <v>55</v>
      </c>
      <c r="C76" s="1">
        <v>42941</v>
      </c>
      <c r="D76" t="s">
        <v>20</v>
      </c>
      <c r="E76">
        <v>102</v>
      </c>
      <c r="F76">
        <f>IFERROR(VLOOKUP(E76,Margins!$A:$B,2,TRUE),"")</f>
        <v>0.15</v>
      </c>
      <c r="G76">
        <f t="shared" si="3"/>
        <v>9180</v>
      </c>
      <c r="H76" t="s">
        <v>63</v>
      </c>
      <c r="I76">
        <v>600</v>
      </c>
      <c r="J76">
        <f>IF(Table1[[#This Row],[Tickets Sold]]&gt;500,8,5)</f>
        <v>5</v>
      </c>
      <c r="K76">
        <v>462</v>
      </c>
      <c r="L76" t="str">
        <f>VLOOKUP(H76,Descriptions!A:B, 2, FALSE)</f>
        <v>Seating Cat. 2</v>
      </c>
      <c r="M76">
        <f t="shared" ca="1" si="4"/>
        <v>-2267</v>
      </c>
      <c r="N76">
        <f t="shared" si="5"/>
        <v>7068.5999999999995</v>
      </c>
      <c r="O7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17-SC2Die-Zur25/7</v>
      </c>
    </row>
    <row r="77" spans="1:15" x14ac:dyDescent="0.3">
      <c r="A77" t="s">
        <v>21</v>
      </c>
      <c r="B77" t="s">
        <v>55</v>
      </c>
      <c r="C77" s="1">
        <v>42941</v>
      </c>
      <c r="D77" t="s">
        <v>20</v>
      </c>
      <c r="E77">
        <v>143</v>
      </c>
      <c r="F77">
        <f>IFERROR(VLOOKUP(E77,Margins!$A:$B,2,TRUE),"")</f>
        <v>0.15</v>
      </c>
      <c r="G77">
        <f t="shared" si="3"/>
        <v>4290</v>
      </c>
      <c r="H77" t="s">
        <v>64</v>
      </c>
      <c r="I77">
        <v>200</v>
      </c>
      <c r="J77">
        <f>IF(Table1[[#This Row],[Tickets Sold]]&gt;500,8,5)</f>
        <v>5</v>
      </c>
      <c r="K77">
        <v>140</v>
      </c>
      <c r="L77" t="str">
        <f>VLOOKUP(H77,Descriptions!A:B, 2, FALSE)</f>
        <v>Seating Cat. 3</v>
      </c>
      <c r="M77">
        <f t="shared" ca="1" si="4"/>
        <v>-2267</v>
      </c>
      <c r="N77">
        <f t="shared" si="5"/>
        <v>3003</v>
      </c>
      <c r="O7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17-SC3Die-Zur25/7</v>
      </c>
    </row>
    <row r="78" spans="1:15" x14ac:dyDescent="0.3">
      <c r="A78" t="s">
        <v>34</v>
      </c>
      <c r="B78" t="s">
        <v>52</v>
      </c>
      <c r="C78" s="1">
        <v>42951</v>
      </c>
      <c r="D78" t="s">
        <v>79</v>
      </c>
      <c r="E78">
        <v>61</v>
      </c>
      <c r="F78">
        <f>IFERROR(VLOOKUP(E78,Margins!$A:$B,2,TRUE),"")</f>
        <v>0.1</v>
      </c>
      <c r="G78">
        <f t="shared" si="3"/>
        <v>60603.500000000007</v>
      </c>
      <c r="H78" t="s">
        <v>68</v>
      </c>
      <c r="I78">
        <v>9935</v>
      </c>
      <c r="J78">
        <f>IF(Table1[[#This Row],[Tickets Sold]]&gt;500,8,5)</f>
        <v>8</v>
      </c>
      <c r="K78">
        <v>6657</v>
      </c>
      <c r="L78" t="str">
        <f>VLOOKUP(H78,Descriptions!A:B, 2, FALSE)</f>
        <v>General Admission (1 day)</v>
      </c>
      <c r="M78">
        <f t="shared" ca="1" si="4"/>
        <v>-2259</v>
      </c>
      <c r="N78">
        <f t="shared" si="5"/>
        <v>40607.700000000004</v>
      </c>
      <c r="O7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17-GA1Ele-Lon4/8</v>
      </c>
    </row>
    <row r="79" spans="1:15" x14ac:dyDescent="0.3">
      <c r="A79" t="s">
        <v>34</v>
      </c>
      <c r="B79" t="s">
        <v>52</v>
      </c>
      <c r="C79" s="1">
        <v>42951</v>
      </c>
      <c r="D79" t="s">
        <v>79</v>
      </c>
      <c r="E79">
        <v>52</v>
      </c>
      <c r="F79">
        <f>IFERROR(VLOOKUP(E79,Margins!$A:$B,2,TRUE),"")</f>
        <v>0.1</v>
      </c>
      <c r="G79">
        <f t="shared" si="3"/>
        <v>3369.6</v>
      </c>
      <c r="H79" t="s">
        <v>62</v>
      </c>
      <c r="I79">
        <v>648</v>
      </c>
      <c r="J79">
        <f>IF(Table1[[#This Row],[Tickets Sold]]&gt;500,8,5)</f>
        <v>5</v>
      </c>
      <c r="K79">
        <v>370</v>
      </c>
      <c r="L79" t="str">
        <f>VLOOKUP(H79,Descriptions!A:B, 2, FALSE)</f>
        <v>Seating Cat. 1</v>
      </c>
      <c r="M79">
        <f t="shared" ca="1" si="4"/>
        <v>-2259</v>
      </c>
      <c r="N79">
        <f t="shared" si="5"/>
        <v>1924</v>
      </c>
      <c r="O7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17-SC1Ele-Lon4/8</v>
      </c>
    </row>
    <row r="80" spans="1:15" x14ac:dyDescent="0.3">
      <c r="A80" t="s">
        <v>34</v>
      </c>
      <c r="B80" t="s">
        <v>52</v>
      </c>
      <c r="C80" s="1">
        <v>42951</v>
      </c>
      <c r="D80" t="s">
        <v>79</v>
      </c>
      <c r="E80">
        <v>299</v>
      </c>
      <c r="F80">
        <f>IFERROR(VLOOKUP(E80,Margins!$A:$B,2,TRUE),"")</f>
        <v>0.25</v>
      </c>
      <c r="G80">
        <f t="shared" si="3"/>
        <v>14950</v>
      </c>
      <c r="H80" t="s">
        <v>65</v>
      </c>
      <c r="I80">
        <v>200</v>
      </c>
      <c r="J80">
        <f>IF(Table1[[#This Row],[Tickets Sold]]&gt;500,8,5)</f>
        <v>5</v>
      </c>
      <c r="K80">
        <v>148</v>
      </c>
      <c r="L80" t="str">
        <f>VLOOKUP(H80,Descriptions!A:B, 2, FALSE)</f>
        <v>Ticket + Air travel Package</v>
      </c>
      <c r="M80">
        <f t="shared" ca="1" si="4"/>
        <v>-2259</v>
      </c>
      <c r="N80">
        <f t="shared" si="5"/>
        <v>11063</v>
      </c>
      <c r="O8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17-TA1Ele-Lon4/8</v>
      </c>
    </row>
    <row r="81" spans="1:15" x14ac:dyDescent="0.3">
      <c r="A81" t="s">
        <v>34</v>
      </c>
      <c r="B81" t="s">
        <v>52</v>
      </c>
      <c r="C81" s="1">
        <v>42951</v>
      </c>
      <c r="D81" t="s">
        <v>79</v>
      </c>
      <c r="E81">
        <v>336</v>
      </c>
      <c r="F81">
        <f>IFERROR(VLOOKUP(E81,Margins!$A:$B,2,TRUE),"")</f>
        <v>0.25</v>
      </c>
      <c r="G81">
        <f t="shared" si="3"/>
        <v>25200</v>
      </c>
      <c r="H81" t="s">
        <v>66</v>
      </c>
      <c r="I81">
        <v>300</v>
      </c>
      <c r="J81">
        <f>IF(Table1[[#This Row],[Tickets Sold]]&gt;500,8,5)</f>
        <v>5</v>
      </c>
      <c r="K81">
        <v>261</v>
      </c>
      <c r="L81" t="str">
        <f>VLOOKUP(H81,Descriptions!A:B, 2, FALSE)</f>
        <v>Ticket + Air travel + Hotel Package</v>
      </c>
      <c r="M81">
        <f t="shared" ca="1" si="4"/>
        <v>-2259</v>
      </c>
      <c r="N81">
        <f t="shared" si="5"/>
        <v>21924</v>
      </c>
      <c r="O8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17-TA2Ele-Lon4/8</v>
      </c>
    </row>
    <row r="82" spans="1:15" x14ac:dyDescent="0.3">
      <c r="A82" t="s">
        <v>34</v>
      </c>
      <c r="B82" t="s">
        <v>48</v>
      </c>
      <c r="C82" s="1">
        <v>42953</v>
      </c>
      <c r="D82" t="s">
        <v>79</v>
      </c>
      <c r="E82">
        <v>73</v>
      </c>
      <c r="F82">
        <f>IFERROR(VLOOKUP(E82,Margins!$A:$B,2,TRUE),"")</f>
        <v>0.1</v>
      </c>
      <c r="G82">
        <f t="shared" si="3"/>
        <v>63028.200000000004</v>
      </c>
      <c r="H82" t="s">
        <v>68</v>
      </c>
      <c r="I82">
        <v>8634</v>
      </c>
      <c r="J82">
        <f>IF(Table1[[#This Row],[Tickets Sold]]&gt;500,8,5)</f>
        <v>8</v>
      </c>
      <c r="K82">
        <v>4404</v>
      </c>
      <c r="L82" t="str">
        <f>VLOOKUP(H82,Descriptions!A:B, 2, FALSE)</f>
        <v>General Admission (1 day)</v>
      </c>
      <c r="M82">
        <f t="shared" ca="1" si="4"/>
        <v>-2257</v>
      </c>
      <c r="N82">
        <f t="shared" si="5"/>
        <v>32149.200000000004</v>
      </c>
      <c r="O8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17-GA1Ele-Par6/8</v>
      </c>
    </row>
    <row r="83" spans="1:15" x14ac:dyDescent="0.3">
      <c r="A83" t="s">
        <v>34</v>
      </c>
      <c r="B83" t="s">
        <v>48</v>
      </c>
      <c r="C83" s="1">
        <v>42953</v>
      </c>
      <c r="D83" t="s">
        <v>79</v>
      </c>
      <c r="E83">
        <v>70</v>
      </c>
      <c r="F83">
        <f>IFERROR(VLOOKUP(E83,Margins!$A:$B,2,TRUE),"")</f>
        <v>0.1</v>
      </c>
      <c r="G83">
        <f t="shared" si="3"/>
        <v>8680</v>
      </c>
      <c r="H83" t="s">
        <v>62</v>
      </c>
      <c r="I83">
        <v>1240</v>
      </c>
      <c r="J83">
        <f>IF(Table1[[#This Row],[Tickets Sold]]&gt;500,8,5)</f>
        <v>8</v>
      </c>
      <c r="K83">
        <v>695</v>
      </c>
      <c r="L83" t="str">
        <f>VLOOKUP(H83,Descriptions!A:B, 2, FALSE)</f>
        <v>Seating Cat. 1</v>
      </c>
      <c r="M83">
        <f t="shared" ca="1" si="4"/>
        <v>-2257</v>
      </c>
      <c r="N83">
        <f t="shared" si="5"/>
        <v>4865</v>
      </c>
      <c r="O8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17-SC1Ele-Par6/8</v>
      </c>
    </row>
    <row r="84" spans="1:15" x14ac:dyDescent="0.3">
      <c r="A84" t="s">
        <v>34</v>
      </c>
      <c r="B84" t="s">
        <v>48</v>
      </c>
      <c r="C84" s="1">
        <v>42953</v>
      </c>
      <c r="D84" t="s">
        <v>79</v>
      </c>
      <c r="E84">
        <v>269</v>
      </c>
      <c r="F84">
        <f>IFERROR(VLOOKUP(E84,Margins!$A:$B,2,TRUE),"")</f>
        <v>0.25</v>
      </c>
      <c r="G84">
        <f t="shared" si="3"/>
        <v>26900</v>
      </c>
      <c r="H84" t="s">
        <v>65</v>
      </c>
      <c r="I84">
        <v>400</v>
      </c>
      <c r="J84">
        <f>IF(Table1[[#This Row],[Tickets Sold]]&gt;500,8,5)</f>
        <v>5</v>
      </c>
      <c r="K84">
        <v>260</v>
      </c>
      <c r="L84" t="str">
        <f>VLOOKUP(H84,Descriptions!A:B, 2, FALSE)</f>
        <v>Ticket + Air travel Package</v>
      </c>
      <c r="M84">
        <f t="shared" ca="1" si="4"/>
        <v>-2257</v>
      </c>
      <c r="N84">
        <f t="shared" si="5"/>
        <v>17485</v>
      </c>
      <c r="O8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17-TA1Ele-Par6/8</v>
      </c>
    </row>
    <row r="85" spans="1:15" x14ac:dyDescent="0.3">
      <c r="A85" t="s">
        <v>34</v>
      </c>
      <c r="B85" t="s">
        <v>48</v>
      </c>
      <c r="C85" s="1">
        <v>42953</v>
      </c>
      <c r="D85" t="s">
        <v>79</v>
      </c>
      <c r="E85">
        <v>304</v>
      </c>
      <c r="F85">
        <f>IFERROR(VLOOKUP(E85,Margins!$A:$B,2,TRUE),"")</f>
        <v>0.25</v>
      </c>
      <c r="G85">
        <f t="shared" si="3"/>
        <v>15200</v>
      </c>
      <c r="H85" t="s">
        <v>66</v>
      </c>
      <c r="I85">
        <v>200</v>
      </c>
      <c r="J85">
        <f>IF(Table1[[#This Row],[Tickets Sold]]&gt;500,8,5)</f>
        <v>5</v>
      </c>
      <c r="K85">
        <v>116</v>
      </c>
      <c r="L85" t="str">
        <f>VLOOKUP(H85,Descriptions!A:B, 2, FALSE)</f>
        <v>Ticket + Air travel + Hotel Package</v>
      </c>
      <c r="M85">
        <f t="shared" ca="1" si="4"/>
        <v>-2257</v>
      </c>
      <c r="N85">
        <f t="shared" si="5"/>
        <v>8816</v>
      </c>
      <c r="O8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17-TA2Ele-Par6/8</v>
      </c>
    </row>
    <row r="86" spans="1:15" x14ac:dyDescent="0.3">
      <c r="A86" t="s">
        <v>31</v>
      </c>
      <c r="B86" t="s">
        <v>47</v>
      </c>
      <c r="C86" s="1">
        <v>42926</v>
      </c>
      <c r="D86" t="s">
        <v>29</v>
      </c>
      <c r="E86">
        <v>54</v>
      </c>
      <c r="F86">
        <f>IFERROR(VLOOKUP(E86,Margins!$A:$B,2,TRUE),"")</f>
        <v>0.1</v>
      </c>
      <c r="G86">
        <f t="shared" si="3"/>
        <v>270000</v>
      </c>
      <c r="H86" t="s">
        <v>68</v>
      </c>
      <c r="I86">
        <v>50000</v>
      </c>
      <c r="J86">
        <f>IF(Table1[[#This Row],[Tickets Sold]]&gt;500,8,5)</f>
        <v>8</v>
      </c>
      <c r="K86">
        <v>34000</v>
      </c>
      <c r="L86" t="str">
        <f>VLOOKUP(H86,Descriptions!A:B, 2, FALSE)</f>
        <v>General Admission (1 day)</v>
      </c>
      <c r="M86">
        <f t="shared" ca="1" si="4"/>
        <v>-2277</v>
      </c>
      <c r="N86">
        <f t="shared" si="5"/>
        <v>183600</v>
      </c>
      <c r="O8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17-GA1Eur-Sto10/7</v>
      </c>
    </row>
    <row r="87" spans="1:15" x14ac:dyDescent="0.3">
      <c r="A87" t="s">
        <v>31</v>
      </c>
      <c r="B87" t="s">
        <v>47</v>
      </c>
      <c r="C87" s="1">
        <v>42926</v>
      </c>
      <c r="D87" t="s">
        <v>29</v>
      </c>
      <c r="E87">
        <v>99</v>
      </c>
      <c r="F87">
        <f>IFERROR(VLOOKUP(E87,Margins!$A:$B,2,TRUE),"")</f>
        <v>0.1</v>
      </c>
      <c r="G87">
        <f t="shared" si="3"/>
        <v>495000</v>
      </c>
      <c r="H87" t="s">
        <v>69</v>
      </c>
      <c r="I87">
        <v>50000</v>
      </c>
      <c r="J87">
        <f>IF(Table1[[#This Row],[Tickets Sold]]&gt;500,8,5)</f>
        <v>8</v>
      </c>
      <c r="K87">
        <v>34500</v>
      </c>
      <c r="L87" t="str">
        <f>VLOOKUP(H87,Descriptions!A:B, 2, FALSE)</f>
        <v>General Admission (2 days)</v>
      </c>
      <c r="M87">
        <f t="shared" ca="1" si="4"/>
        <v>-2277</v>
      </c>
      <c r="N87">
        <f t="shared" si="5"/>
        <v>341550</v>
      </c>
      <c r="O8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17-GA2Eur-Sto10/7</v>
      </c>
    </row>
    <row r="88" spans="1:15" x14ac:dyDescent="0.3">
      <c r="A88" t="s">
        <v>31</v>
      </c>
      <c r="B88" t="s">
        <v>47</v>
      </c>
      <c r="C88" s="1">
        <v>42926</v>
      </c>
      <c r="D88" t="s">
        <v>29</v>
      </c>
      <c r="E88">
        <v>35</v>
      </c>
      <c r="F88">
        <f>IFERROR(VLOOKUP(E88,Margins!$A:$B,2,TRUE),"")</f>
        <v>7.0000000000000007E-2</v>
      </c>
      <c r="G88">
        <f t="shared" si="3"/>
        <v>132.30000000000001</v>
      </c>
      <c r="H88" t="s">
        <v>67</v>
      </c>
      <c r="I88">
        <v>54</v>
      </c>
      <c r="J88">
        <f>IF(Table1[[#This Row],[Tickets Sold]]&gt;500,8,5)</f>
        <v>5</v>
      </c>
      <c r="K88">
        <v>35</v>
      </c>
      <c r="L88" t="str">
        <f>VLOOKUP(H88,Descriptions!A:B, 2, FALSE)</f>
        <v>Seating-disabled</v>
      </c>
      <c r="M88">
        <f t="shared" ca="1" si="4"/>
        <v>-2277</v>
      </c>
      <c r="N88">
        <f t="shared" si="5"/>
        <v>85.75</v>
      </c>
      <c r="O8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17-SCDEur-Sto10/7</v>
      </c>
    </row>
    <row r="89" spans="1:15" x14ac:dyDescent="0.3">
      <c r="A89" t="s">
        <v>31</v>
      </c>
      <c r="B89" t="s">
        <v>47</v>
      </c>
      <c r="C89" s="1">
        <v>42927</v>
      </c>
      <c r="D89" t="s">
        <v>29</v>
      </c>
      <c r="E89">
        <v>42</v>
      </c>
      <c r="F89">
        <f>IFERROR(VLOOKUP(E89,Margins!$A:$B,2,TRUE),"")</f>
        <v>7.0000000000000007E-2</v>
      </c>
      <c r="G89">
        <f t="shared" si="3"/>
        <v>147000.00000000003</v>
      </c>
      <c r="H89" t="s">
        <v>68</v>
      </c>
      <c r="I89">
        <v>50000</v>
      </c>
      <c r="J89">
        <f>IF(Table1[[#This Row],[Tickets Sold]]&gt;500,8,5)</f>
        <v>8</v>
      </c>
      <c r="K89">
        <v>42500</v>
      </c>
      <c r="L89" t="str">
        <f>VLOOKUP(H89,Descriptions!A:B, 2, FALSE)</f>
        <v>General Admission (1 day)</v>
      </c>
      <c r="M89">
        <f t="shared" ca="1" si="4"/>
        <v>-2277</v>
      </c>
      <c r="N89">
        <f t="shared" si="5"/>
        <v>124950.00000000001</v>
      </c>
      <c r="O8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17-GA1Eur-Sto11/7</v>
      </c>
    </row>
    <row r="90" spans="1:15" x14ac:dyDescent="0.3">
      <c r="A90" t="s">
        <v>31</v>
      </c>
      <c r="B90" t="s">
        <v>47</v>
      </c>
      <c r="C90" s="1">
        <v>42927</v>
      </c>
      <c r="D90" t="s">
        <v>29</v>
      </c>
      <c r="E90">
        <v>226</v>
      </c>
      <c r="F90">
        <f>IFERROR(VLOOKUP(E90,Margins!$A:$B,2,TRUE),"")</f>
        <v>0.25</v>
      </c>
      <c r="G90">
        <f t="shared" si="3"/>
        <v>16950</v>
      </c>
      <c r="H90" t="s">
        <v>65</v>
      </c>
      <c r="I90">
        <v>300</v>
      </c>
      <c r="J90">
        <f>IF(Table1[[#This Row],[Tickets Sold]]&gt;500,8,5)</f>
        <v>5</v>
      </c>
      <c r="K90">
        <v>207</v>
      </c>
      <c r="L90" t="str">
        <f>VLOOKUP(H90,Descriptions!A:B, 2, FALSE)</f>
        <v>Ticket + Air travel Package</v>
      </c>
      <c r="M90">
        <f t="shared" ca="1" si="4"/>
        <v>-2277</v>
      </c>
      <c r="N90">
        <f t="shared" si="5"/>
        <v>11695.5</v>
      </c>
      <c r="O9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17-TA1Eur-Sto11/7</v>
      </c>
    </row>
    <row r="91" spans="1:15" x14ac:dyDescent="0.3">
      <c r="A91" t="s">
        <v>31</v>
      </c>
      <c r="B91" t="s">
        <v>47</v>
      </c>
      <c r="C91" s="1">
        <v>42927</v>
      </c>
      <c r="D91" t="s">
        <v>29</v>
      </c>
      <c r="E91">
        <v>29</v>
      </c>
      <c r="F91">
        <f>IFERROR(VLOOKUP(E91,Margins!$A:$B,2,TRUE),"")</f>
        <v>7.0000000000000007E-2</v>
      </c>
      <c r="G91">
        <f t="shared" si="3"/>
        <v>225.33000000000004</v>
      </c>
      <c r="H91" t="s">
        <v>67</v>
      </c>
      <c r="I91">
        <v>111</v>
      </c>
      <c r="J91">
        <f>IF(Table1[[#This Row],[Tickets Sold]]&gt;500,8,5)</f>
        <v>5</v>
      </c>
      <c r="K91">
        <v>88</v>
      </c>
      <c r="L91" t="str">
        <f>VLOOKUP(H91,Descriptions!A:B, 2, FALSE)</f>
        <v>Seating-disabled</v>
      </c>
      <c r="M91">
        <f t="shared" ca="1" si="4"/>
        <v>-2277</v>
      </c>
      <c r="N91">
        <f t="shared" si="5"/>
        <v>178.64000000000001</v>
      </c>
      <c r="O9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17-SCDEur-Sto11/7</v>
      </c>
    </row>
    <row r="92" spans="1:15" x14ac:dyDescent="0.3">
      <c r="A92" t="s">
        <v>31</v>
      </c>
      <c r="B92" t="s">
        <v>47</v>
      </c>
      <c r="C92" s="1">
        <v>42927</v>
      </c>
      <c r="D92" t="s">
        <v>29</v>
      </c>
      <c r="E92">
        <v>379</v>
      </c>
      <c r="F92">
        <f>IFERROR(VLOOKUP(E92,Margins!$A:$B,2,TRUE),"")</f>
        <v>0.25</v>
      </c>
      <c r="G92">
        <f t="shared" si="3"/>
        <v>28425</v>
      </c>
      <c r="H92" t="s">
        <v>66</v>
      </c>
      <c r="I92">
        <v>300</v>
      </c>
      <c r="J92">
        <f>IF(Table1[[#This Row],[Tickets Sold]]&gt;500,8,5)</f>
        <v>5</v>
      </c>
      <c r="K92">
        <v>261</v>
      </c>
      <c r="L92" t="str">
        <f>VLOOKUP(H92,Descriptions!A:B, 2, FALSE)</f>
        <v>Ticket + Air travel + Hotel Package</v>
      </c>
      <c r="M92">
        <f t="shared" ca="1" si="4"/>
        <v>-2277</v>
      </c>
      <c r="N92">
        <f t="shared" si="5"/>
        <v>24729.75</v>
      </c>
      <c r="O9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17-TA2Eur-Sto11/7</v>
      </c>
    </row>
    <row r="93" spans="1:15" x14ac:dyDescent="0.3">
      <c r="A93" t="s">
        <v>31</v>
      </c>
      <c r="B93" t="s">
        <v>48</v>
      </c>
      <c r="C93" s="1">
        <v>42937</v>
      </c>
      <c r="D93" t="s">
        <v>29</v>
      </c>
      <c r="E93">
        <v>78</v>
      </c>
      <c r="F93">
        <f>IFERROR(VLOOKUP(E93,Margins!$A:$B,2,TRUE),"")</f>
        <v>0.1</v>
      </c>
      <c r="G93">
        <f t="shared" si="3"/>
        <v>390000.00000000006</v>
      </c>
      <c r="H93" t="s">
        <v>68</v>
      </c>
      <c r="I93">
        <v>50000</v>
      </c>
      <c r="J93">
        <f>IF(Table1[[#This Row],[Tickets Sold]]&gt;500,8,5)</f>
        <v>8</v>
      </c>
      <c r="K93">
        <v>43500</v>
      </c>
      <c r="L93" t="str">
        <f>VLOOKUP(H93,Descriptions!A:B, 2, FALSE)</f>
        <v>General Admission (1 day)</v>
      </c>
      <c r="M93">
        <f t="shared" ca="1" si="4"/>
        <v>-2269</v>
      </c>
      <c r="N93">
        <f t="shared" si="5"/>
        <v>339300.00000000006</v>
      </c>
      <c r="O9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17-GA1Eur-Par21/7</v>
      </c>
    </row>
    <row r="94" spans="1:15" x14ac:dyDescent="0.3">
      <c r="A94" t="s">
        <v>31</v>
      </c>
      <c r="B94" t="s">
        <v>48</v>
      </c>
      <c r="C94" s="1">
        <v>42937</v>
      </c>
      <c r="D94" t="s">
        <v>29</v>
      </c>
      <c r="E94">
        <v>94</v>
      </c>
      <c r="F94">
        <f>IFERROR(VLOOKUP(E94,Margins!$A:$B,2,TRUE),"")</f>
        <v>0.1</v>
      </c>
      <c r="G94">
        <f t="shared" si="3"/>
        <v>470000</v>
      </c>
      <c r="H94" t="s">
        <v>69</v>
      </c>
      <c r="I94">
        <v>50000</v>
      </c>
      <c r="J94">
        <f>IF(Table1[[#This Row],[Tickets Sold]]&gt;500,8,5)</f>
        <v>8</v>
      </c>
      <c r="K94">
        <v>27500</v>
      </c>
      <c r="L94" t="str">
        <f>VLOOKUP(H94,Descriptions!A:B, 2, FALSE)</f>
        <v>General Admission (2 days)</v>
      </c>
      <c r="M94">
        <f t="shared" ca="1" si="4"/>
        <v>-2269</v>
      </c>
      <c r="N94">
        <f t="shared" si="5"/>
        <v>258500</v>
      </c>
      <c r="O9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17-GA2Eur-Par21/7</v>
      </c>
    </row>
    <row r="95" spans="1:15" x14ac:dyDescent="0.3">
      <c r="A95" t="s">
        <v>31</v>
      </c>
      <c r="B95" t="s">
        <v>48</v>
      </c>
      <c r="C95" s="1">
        <v>42937</v>
      </c>
      <c r="D95" t="s">
        <v>29</v>
      </c>
      <c r="E95">
        <v>31</v>
      </c>
      <c r="F95">
        <f>IFERROR(VLOOKUP(E95,Margins!$A:$B,2,TRUE),"")</f>
        <v>7.0000000000000007E-2</v>
      </c>
      <c r="G95">
        <f t="shared" si="3"/>
        <v>180.11000000000004</v>
      </c>
      <c r="H95" t="s">
        <v>67</v>
      </c>
      <c r="I95">
        <v>83</v>
      </c>
      <c r="J95">
        <f>IF(Table1[[#This Row],[Tickets Sold]]&gt;500,8,5)</f>
        <v>5</v>
      </c>
      <c r="K95">
        <v>66</v>
      </c>
      <c r="L95" t="str">
        <f>VLOOKUP(H95,Descriptions!A:B, 2, FALSE)</f>
        <v>Seating-disabled</v>
      </c>
      <c r="M95">
        <f t="shared" ca="1" si="4"/>
        <v>-2269</v>
      </c>
      <c r="N95">
        <f t="shared" si="5"/>
        <v>143.22000000000003</v>
      </c>
      <c r="O9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17-SCDEur-Par21/7</v>
      </c>
    </row>
    <row r="96" spans="1:15" x14ac:dyDescent="0.3">
      <c r="A96" t="s">
        <v>31</v>
      </c>
      <c r="B96" t="s">
        <v>48</v>
      </c>
      <c r="C96" s="1">
        <v>42938</v>
      </c>
      <c r="D96" t="s">
        <v>29</v>
      </c>
      <c r="E96">
        <v>50</v>
      </c>
      <c r="F96">
        <f>IFERROR(VLOOKUP(E96,Margins!$A:$B,2,TRUE),"")</f>
        <v>0.1</v>
      </c>
      <c r="G96">
        <f t="shared" si="3"/>
        <v>250000</v>
      </c>
      <c r="H96" t="s">
        <v>68</v>
      </c>
      <c r="I96">
        <v>50000</v>
      </c>
      <c r="J96">
        <f>IF(Table1[[#This Row],[Tickets Sold]]&gt;500,8,5)</f>
        <v>8</v>
      </c>
      <c r="K96">
        <v>25500</v>
      </c>
      <c r="L96" t="str">
        <f>VLOOKUP(H96,Descriptions!A:B, 2, FALSE)</f>
        <v>General Admission (1 day)</v>
      </c>
      <c r="M96">
        <f t="shared" ca="1" si="4"/>
        <v>-2268</v>
      </c>
      <c r="N96">
        <f t="shared" si="5"/>
        <v>127500</v>
      </c>
      <c r="O9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17-GA1Eur-Par22/7</v>
      </c>
    </row>
    <row r="97" spans="1:15" x14ac:dyDescent="0.3">
      <c r="A97" t="s">
        <v>31</v>
      </c>
      <c r="B97" t="s">
        <v>48</v>
      </c>
      <c r="C97" s="1">
        <v>42938</v>
      </c>
      <c r="D97" t="s">
        <v>29</v>
      </c>
      <c r="E97">
        <v>220</v>
      </c>
      <c r="F97">
        <f>IFERROR(VLOOKUP(E97,Margins!$A:$B,2,TRUE),"")</f>
        <v>0.25</v>
      </c>
      <c r="G97">
        <f t="shared" si="3"/>
        <v>22000</v>
      </c>
      <c r="H97" t="s">
        <v>65</v>
      </c>
      <c r="I97">
        <v>400</v>
      </c>
      <c r="J97">
        <f>IF(Table1[[#This Row],[Tickets Sold]]&gt;500,8,5)</f>
        <v>5</v>
      </c>
      <c r="K97">
        <v>344</v>
      </c>
      <c r="L97" t="str">
        <f>VLOOKUP(H97,Descriptions!A:B, 2, FALSE)</f>
        <v>Ticket + Air travel Package</v>
      </c>
      <c r="M97">
        <f t="shared" ca="1" si="4"/>
        <v>-2268</v>
      </c>
      <c r="N97">
        <f t="shared" si="5"/>
        <v>18920</v>
      </c>
      <c r="O9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17-TA1Eur-Par22/7</v>
      </c>
    </row>
    <row r="98" spans="1:15" x14ac:dyDescent="0.3">
      <c r="A98" t="s">
        <v>31</v>
      </c>
      <c r="B98" t="s">
        <v>48</v>
      </c>
      <c r="C98" s="1">
        <v>42938</v>
      </c>
      <c r="D98" t="s">
        <v>29</v>
      </c>
      <c r="E98">
        <v>29</v>
      </c>
      <c r="F98">
        <f>IFERROR(VLOOKUP(E98,Margins!$A:$B,2,TRUE),"")</f>
        <v>7.0000000000000007E-2</v>
      </c>
      <c r="G98">
        <f t="shared" si="3"/>
        <v>129.92000000000002</v>
      </c>
      <c r="H98" t="s">
        <v>67</v>
      </c>
      <c r="I98">
        <v>64</v>
      </c>
      <c r="J98">
        <f>IF(Table1[[#This Row],[Tickets Sold]]&gt;500,8,5)</f>
        <v>5</v>
      </c>
      <c r="K98">
        <v>40</v>
      </c>
      <c r="L98" t="str">
        <f>VLOOKUP(H98,Descriptions!A:B, 2, FALSE)</f>
        <v>Seating-disabled</v>
      </c>
      <c r="M98">
        <f t="shared" ca="1" si="4"/>
        <v>-2268</v>
      </c>
      <c r="N98">
        <f t="shared" si="5"/>
        <v>81.200000000000017</v>
      </c>
      <c r="O9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17-SCDEur-Par22/7</v>
      </c>
    </row>
    <row r="99" spans="1:15" x14ac:dyDescent="0.3">
      <c r="A99" t="s">
        <v>31</v>
      </c>
      <c r="B99" t="s">
        <v>48</v>
      </c>
      <c r="C99" s="1">
        <v>42938</v>
      </c>
      <c r="D99" t="s">
        <v>29</v>
      </c>
      <c r="E99">
        <v>320</v>
      </c>
      <c r="F99">
        <f>IFERROR(VLOOKUP(E99,Margins!$A:$B,2,TRUE),"")</f>
        <v>0.25</v>
      </c>
      <c r="G99">
        <f t="shared" si="3"/>
        <v>16000</v>
      </c>
      <c r="H99" t="s">
        <v>66</v>
      </c>
      <c r="I99">
        <v>200</v>
      </c>
      <c r="J99">
        <f>IF(Table1[[#This Row],[Tickets Sold]]&gt;500,8,5)</f>
        <v>5</v>
      </c>
      <c r="K99">
        <v>128</v>
      </c>
      <c r="L99" t="str">
        <f>VLOOKUP(H99,Descriptions!A:B, 2, FALSE)</f>
        <v>Ticket + Air travel + Hotel Package</v>
      </c>
      <c r="M99">
        <f t="shared" ca="1" si="4"/>
        <v>-2268</v>
      </c>
      <c r="N99">
        <f t="shared" si="5"/>
        <v>10240</v>
      </c>
      <c r="O9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17-TA2Eur-Par22/7</v>
      </c>
    </row>
    <row r="100" spans="1:15" x14ac:dyDescent="0.3">
      <c r="A100" t="s">
        <v>31</v>
      </c>
      <c r="B100" t="s">
        <v>51</v>
      </c>
      <c r="C100" s="1">
        <v>42941</v>
      </c>
      <c r="D100" t="s">
        <v>29</v>
      </c>
      <c r="E100">
        <v>50</v>
      </c>
      <c r="F100">
        <f>IFERROR(VLOOKUP(E100,Margins!$A:$B,2,TRUE),"")</f>
        <v>0.1</v>
      </c>
      <c r="G100">
        <f t="shared" si="3"/>
        <v>250000</v>
      </c>
      <c r="H100" t="s">
        <v>68</v>
      </c>
      <c r="I100">
        <v>50000</v>
      </c>
      <c r="J100">
        <f>IF(Table1[[#This Row],[Tickets Sold]]&gt;500,8,5)</f>
        <v>8</v>
      </c>
      <c r="K100">
        <v>38500</v>
      </c>
      <c r="L100" t="str">
        <f>VLOOKUP(H100,Descriptions!A:B, 2, FALSE)</f>
        <v>General Admission (1 day)</v>
      </c>
      <c r="M100">
        <f t="shared" ca="1" si="4"/>
        <v>-2267</v>
      </c>
      <c r="N100">
        <f t="shared" si="5"/>
        <v>192500</v>
      </c>
      <c r="O10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17-GA1Eur-Bar25/7</v>
      </c>
    </row>
    <row r="101" spans="1:15" x14ac:dyDescent="0.3">
      <c r="A101" t="s">
        <v>31</v>
      </c>
      <c r="B101" t="s">
        <v>51</v>
      </c>
      <c r="C101" s="1">
        <v>42941</v>
      </c>
      <c r="D101" t="s">
        <v>29</v>
      </c>
      <c r="E101">
        <v>94</v>
      </c>
      <c r="F101">
        <f>IFERROR(VLOOKUP(E101,Margins!$A:$B,2,TRUE),"")</f>
        <v>0.1</v>
      </c>
      <c r="G101">
        <f t="shared" si="3"/>
        <v>470000</v>
      </c>
      <c r="H101" t="s">
        <v>69</v>
      </c>
      <c r="I101">
        <v>50000</v>
      </c>
      <c r="J101">
        <f>IF(Table1[[#This Row],[Tickets Sold]]&gt;500,8,5)</f>
        <v>8</v>
      </c>
      <c r="K101">
        <v>29000</v>
      </c>
      <c r="L101" t="str">
        <f>VLOOKUP(H101,Descriptions!A:B, 2, FALSE)</f>
        <v>General Admission (2 days)</v>
      </c>
      <c r="M101">
        <f t="shared" ca="1" si="4"/>
        <v>-2267</v>
      </c>
      <c r="N101">
        <f t="shared" si="5"/>
        <v>272600</v>
      </c>
      <c r="O10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17-GA2Eur-Bar25/7</v>
      </c>
    </row>
    <row r="102" spans="1:15" x14ac:dyDescent="0.3">
      <c r="A102" t="s">
        <v>31</v>
      </c>
      <c r="B102" t="s">
        <v>51</v>
      </c>
      <c r="C102" s="1">
        <v>42941</v>
      </c>
      <c r="D102" t="s">
        <v>29</v>
      </c>
      <c r="E102">
        <v>29</v>
      </c>
      <c r="F102">
        <f>IFERROR(VLOOKUP(E102,Margins!$A:$B,2,TRUE),"")</f>
        <v>7.0000000000000007E-2</v>
      </c>
      <c r="G102">
        <f t="shared" si="3"/>
        <v>227.36</v>
      </c>
      <c r="H102" t="s">
        <v>67</v>
      </c>
      <c r="I102">
        <v>112</v>
      </c>
      <c r="J102">
        <f>IF(Table1[[#This Row],[Tickets Sold]]&gt;500,8,5)</f>
        <v>5</v>
      </c>
      <c r="K102">
        <v>104</v>
      </c>
      <c r="L102" t="str">
        <f>VLOOKUP(H102,Descriptions!A:B, 2, FALSE)</f>
        <v>Seating-disabled</v>
      </c>
      <c r="M102">
        <f t="shared" ca="1" si="4"/>
        <v>-2267</v>
      </c>
      <c r="N102">
        <f t="shared" si="5"/>
        <v>211.12000000000003</v>
      </c>
      <c r="O10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17-SCDEur-Bar25/7</v>
      </c>
    </row>
    <row r="103" spans="1:15" x14ac:dyDescent="0.3">
      <c r="A103" t="s">
        <v>31</v>
      </c>
      <c r="B103" t="s">
        <v>51</v>
      </c>
      <c r="C103" s="1">
        <v>42942</v>
      </c>
      <c r="D103" t="s">
        <v>29</v>
      </c>
      <c r="E103">
        <v>50</v>
      </c>
      <c r="F103">
        <f>IFERROR(VLOOKUP(E103,Margins!$A:$B,2,TRUE),"")</f>
        <v>0.1</v>
      </c>
      <c r="G103">
        <f t="shared" si="3"/>
        <v>250000</v>
      </c>
      <c r="H103" t="s">
        <v>68</v>
      </c>
      <c r="I103">
        <v>50000</v>
      </c>
      <c r="J103">
        <f>IF(Table1[[#This Row],[Tickets Sold]]&gt;500,8,5)</f>
        <v>8</v>
      </c>
      <c r="K103">
        <v>28000</v>
      </c>
      <c r="L103" t="str">
        <f>VLOOKUP(H103,Descriptions!A:B, 2, FALSE)</f>
        <v>General Admission (1 day)</v>
      </c>
      <c r="M103">
        <f t="shared" ca="1" si="4"/>
        <v>-2266</v>
      </c>
      <c r="N103">
        <f t="shared" si="5"/>
        <v>140000</v>
      </c>
      <c r="O10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17-GA1Eur-Bar26/7</v>
      </c>
    </row>
    <row r="104" spans="1:15" x14ac:dyDescent="0.3">
      <c r="A104" t="s">
        <v>31</v>
      </c>
      <c r="B104" t="s">
        <v>51</v>
      </c>
      <c r="C104" s="1">
        <v>42942</v>
      </c>
      <c r="D104" t="s">
        <v>29</v>
      </c>
      <c r="E104">
        <v>192</v>
      </c>
      <c r="F104">
        <f>IFERROR(VLOOKUP(E104,Margins!$A:$B,2,TRUE),"")</f>
        <v>0.15</v>
      </c>
      <c r="G104">
        <f t="shared" si="3"/>
        <v>8640</v>
      </c>
      <c r="H104" t="s">
        <v>65</v>
      </c>
      <c r="I104">
        <v>300</v>
      </c>
      <c r="J104">
        <f>IF(Table1[[#This Row],[Tickets Sold]]&gt;500,8,5)</f>
        <v>5</v>
      </c>
      <c r="K104">
        <v>210</v>
      </c>
      <c r="L104" t="str">
        <f>VLOOKUP(H104,Descriptions!A:B, 2, FALSE)</f>
        <v>Ticket + Air travel Package</v>
      </c>
      <c r="M104">
        <f t="shared" ca="1" si="4"/>
        <v>-2266</v>
      </c>
      <c r="N104">
        <f t="shared" si="5"/>
        <v>6047.9999999999991</v>
      </c>
      <c r="O10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17-TA1Eur-Bar26/7</v>
      </c>
    </row>
    <row r="105" spans="1:15" x14ac:dyDescent="0.3">
      <c r="A105" t="s">
        <v>31</v>
      </c>
      <c r="B105" t="s">
        <v>51</v>
      </c>
      <c r="C105" s="1">
        <v>42942</v>
      </c>
      <c r="D105" t="s">
        <v>29</v>
      </c>
      <c r="E105">
        <v>23</v>
      </c>
      <c r="F105">
        <f>IFERROR(VLOOKUP(E105,Margins!$A:$B,2,TRUE),"")</f>
        <v>7.0000000000000007E-2</v>
      </c>
      <c r="G105">
        <f t="shared" si="3"/>
        <v>94.990000000000009</v>
      </c>
      <c r="H105" t="s">
        <v>67</v>
      </c>
      <c r="I105">
        <v>59</v>
      </c>
      <c r="J105">
        <f>IF(Table1[[#This Row],[Tickets Sold]]&gt;500,8,5)</f>
        <v>5</v>
      </c>
      <c r="K105">
        <v>56</v>
      </c>
      <c r="L105" t="str">
        <f>VLOOKUP(H105,Descriptions!A:B, 2, FALSE)</f>
        <v>Seating-disabled</v>
      </c>
      <c r="M105">
        <f t="shared" ca="1" si="4"/>
        <v>-2266</v>
      </c>
      <c r="N105">
        <f t="shared" si="5"/>
        <v>90.160000000000011</v>
      </c>
      <c r="O10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17-SCDEur-Bar26/7</v>
      </c>
    </row>
    <row r="106" spans="1:15" x14ac:dyDescent="0.3">
      <c r="A106" t="s">
        <v>31</v>
      </c>
      <c r="B106" t="s">
        <v>51</v>
      </c>
      <c r="C106" s="1">
        <v>42942</v>
      </c>
      <c r="D106" t="s">
        <v>29</v>
      </c>
      <c r="E106">
        <v>351</v>
      </c>
      <c r="F106">
        <f>IFERROR(VLOOKUP(E106,Margins!$A:$B,2,TRUE),"")</f>
        <v>0.25</v>
      </c>
      <c r="G106">
        <f t="shared" si="3"/>
        <v>26325</v>
      </c>
      <c r="H106" t="s">
        <v>66</v>
      </c>
      <c r="I106">
        <v>300</v>
      </c>
      <c r="J106">
        <f>IF(Table1[[#This Row],[Tickets Sold]]&gt;500,8,5)</f>
        <v>5</v>
      </c>
      <c r="K106">
        <v>240</v>
      </c>
      <c r="L106" t="str">
        <f>VLOOKUP(H106,Descriptions!A:B, 2, FALSE)</f>
        <v>Ticket + Air travel + Hotel Package</v>
      </c>
      <c r="M106">
        <f t="shared" ca="1" si="4"/>
        <v>-2266</v>
      </c>
      <c r="N106">
        <f t="shared" si="5"/>
        <v>21060</v>
      </c>
      <c r="O10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17-TA2Eur-Bar26/7</v>
      </c>
    </row>
    <row r="107" spans="1:15" x14ac:dyDescent="0.3">
      <c r="A107" t="s">
        <v>24</v>
      </c>
      <c r="B107" t="s">
        <v>54</v>
      </c>
      <c r="C107" s="1">
        <v>42956</v>
      </c>
      <c r="D107" t="s">
        <v>80</v>
      </c>
      <c r="E107">
        <v>68</v>
      </c>
      <c r="F107">
        <f>IFERROR(VLOOKUP(E107,Margins!$A:$B,2,TRUE),"")</f>
        <v>0.1</v>
      </c>
      <c r="G107">
        <f t="shared" si="3"/>
        <v>6392.0000000000009</v>
      </c>
      <c r="H107" t="s">
        <v>62</v>
      </c>
      <c r="I107">
        <v>940</v>
      </c>
      <c r="J107">
        <f>IF(Table1[[#This Row],[Tickets Sold]]&gt;500,8,5)</f>
        <v>5</v>
      </c>
      <c r="K107">
        <v>480</v>
      </c>
      <c r="L107" t="str">
        <f>VLOOKUP(H107,Descriptions!A:B, 2, FALSE)</f>
        <v>Seating Cat. 1</v>
      </c>
      <c r="M107">
        <f t="shared" ca="1" si="4"/>
        <v>-2256</v>
      </c>
      <c r="N107">
        <f t="shared" si="5"/>
        <v>3264.0000000000005</v>
      </c>
      <c r="O10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17-SC1Fil-Ber9/8</v>
      </c>
    </row>
    <row r="108" spans="1:15" x14ac:dyDescent="0.3">
      <c r="A108" t="s">
        <v>24</v>
      </c>
      <c r="B108" t="s">
        <v>52</v>
      </c>
      <c r="C108" s="1">
        <v>42962</v>
      </c>
      <c r="D108" t="s">
        <v>80</v>
      </c>
      <c r="E108">
        <v>72</v>
      </c>
      <c r="F108">
        <f>IFERROR(VLOOKUP(E108,Margins!$A:$B,2,TRUE),"")</f>
        <v>0.1</v>
      </c>
      <c r="G108">
        <f t="shared" si="3"/>
        <v>4708.8</v>
      </c>
      <c r="H108" t="s">
        <v>62</v>
      </c>
      <c r="I108">
        <v>654</v>
      </c>
      <c r="J108">
        <f>IF(Table1[[#This Row],[Tickets Sold]]&gt;500,8,5)</f>
        <v>8</v>
      </c>
      <c r="K108">
        <v>517</v>
      </c>
      <c r="L108" t="str">
        <f>VLOOKUP(H108,Descriptions!A:B, 2, FALSE)</f>
        <v>Seating Cat. 1</v>
      </c>
      <c r="M108">
        <f t="shared" ca="1" si="4"/>
        <v>-2252</v>
      </c>
      <c r="N108">
        <f t="shared" si="5"/>
        <v>3722.4</v>
      </c>
      <c r="O10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17-SC1Fil-Lon15/8</v>
      </c>
    </row>
    <row r="109" spans="1:15" x14ac:dyDescent="0.3">
      <c r="A109" t="s">
        <v>24</v>
      </c>
      <c r="B109" t="s">
        <v>52</v>
      </c>
      <c r="C109" s="1">
        <v>42962</v>
      </c>
      <c r="D109" t="s">
        <v>80</v>
      </c>
      <c r="E109">
        <v>73</v>
      </c>
      <c r="F109">
        <f>IFERROR(VLOOKUP(E109,Margins!$A:$B,2,TRUE),"")</f>
        <v>0.1</v>
      </c>
      <c r="G109">
        <f t="shared" si="3"/>
        <v>2920.0000000000005</v>
      </c>
      <c r="H109" t="s">
        <v>63</v>
      </c>
      <c r="I109">
        <v>400</v>
      </c>
      <c r="J109">
        <f>IF(Table1[[#This Row],[Tickets Sold]]&gt;500,8,5)</f>
        <v>5</v>
      </c>
      <c r="K109">
        <v>280</v>
      </c>
      <c r="L109" t="str">
        <f>VLOOKUP(H109,Descriptions!A:B, 2, FALSE)</f>
        <v>Seating Cat. 2</v>
      </c>
      <c r="M109">
        <f t="shared" ca="1" si="4"/>
        <v>-2252</v>
      </c>
      <c r="N109">
        <f t="shared" si="5"/>
        <v>2044.0000000000002</v>
      </c>
      <c r="O10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17-SC2Fil-Lon15/8</v>
      </c>
    </row>
    <row r="110" spans="1:15" x14ac:dyDescent="0.3">
      <c r="A110" t="s">
        <v>24</v>
      </c>
      <c r="B110" t="s">
        <v>52</v>
      </c>
      <c r="C110" s="1">
        <v>42962</v>
      </c>
      <c r="D110" t="s">
        <v>80</v>
      </c>
      <c r="E110">
        <v>152</v>
      </c>
      <c r="F110">
        <f>IFERROR(VLOOKUP(E110,Margins!$A:$B,2,TRUE),"")</f>
        <v>0.15</v>
      </c>
      <c r="G110">
        <f t="shared" si="3"/>
        <v>4856.4000000000005</v>
      </c>
      <c r="H110" t="s">
        <v>64</v>
      </c>
      <c r="I110">
        <v>213</v>
      </c>
      <c r="J110">
        <f>IF(Table1[[#This Row],[Tickets Sold]]&gt;500,8,5)</f>
        <v>5</v>
      </c>
      <c r="K110">
        <v>199</v>
      </c>
      <c r="L110" t="str">
        <f>VLOOKUP(H110,Descriptions!A:B, 2, FALSE)</f>
        <v>Seating Cat. 3</v>
      </c>
      <c r="M110">
        <f t="shared" ca="1" si="4"/>
        <v>-2252</v>
      </c>
      <c r="N110">
        <f t="shared" si="5"/>
        <v>4537.2</v>
      </c>
      <c r="O11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17-SC3Fil-Lon15/8</v>
      </c>
    </row>
    <row r="111" spans="1:15" x14ac:dyDescent="0.3">
      <c r="A111" t="s">
        <v>24</v>
      </c>
      <c r="B111" t="s">
        <v>52</v>
      </c>
      <c r="C111" s="1">
        <v>42962</v>
      </c>
      <c r="D111" t="s">
        <v>80</v>
      </c>
      <c r="E111">
        <v>293</v>
      </c>
      <c r="F111">
        <f>IFERROR(VLOOKUP(E111,Margins!$A:$B,2,TRUE),"")</f>
        <v>0.25</v>
      </c>
      <c r="G111">
        <f t="shared" si="3"/>
        <v>21975</v>
      </c>
      <c r="H111" t="s">
        <v>65</v>
      </c>
      <c r="I111">
        <v>300</v>
      </c>
      <c r="J111">
        <f>IF(Table1[[#This Row],[Tickets Sold]]&gt;500,8,5)</f>
        <v>5</v>
      </c>
      <c r="K111">
        <v>168</v>
      </c>
      <c r="L111" t="str">
        <f>VLOOKUP(H111,Descriptions!A:B, 2, FALSE)</f>
        <v>Ticket + Air travel Package</v>
      </c>
      <c r="M111">
        <f t="shared" ca="1" si="4"/>
        <v>-2252</v>
      </c>
      <c r="N111">
        <f t="shared" si="5"/>
        <v>12306</v>
      </c>
      <c r="O11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17-TA1Fil-Lon15/8</v>
      </c>
    </row>
    <row r="112" spans="1:15" x14ac:dyDescent="0.3">
      <c r="A112" t="s">
        <v>24</v>
      </c>
      <c r="B112" t="s">
        <v>52</v>
      </c>
      <c r="C112" s="1">
        <v>42962</v>
      </c>
      <c r="D112" t="s">
        <v>80</v>
      </c>
      <c r="E112">
        <v>30</v>
      </c>
      <c r="F112">
        <f>IFERROR(VLOOKUP(E112,Margins!$A:$B,2,TRUE),"")</f>
        <v>7.0000000000000007E-2</v>
      </c>
      <c r="G112">
        <f t="shared" si="3"/>
        <v>119.7</v>
      </c>
      <c r="H112" t="s">
        <v>67</v>
      </c>
      <c r="I112">
        <v>57</v>
      </c>
      <c r="J112">
        <f>IF(Table1[[#This Row],[Tickets Sold]]&gt;500,8,5)</f>
        <v>5</v>
      </c>
      <c r="K112">
        <v>50</v>
      </c>
      <c r="L112" t="str">
        <f>VLOOKUP(H112,Descriptions!A:B, 2, FALSE)</f>
        <v>Seating-disabled</v>
      </c>
      <c r="M112">
        <f t="shared" ca="1" si="4"/>
        <v>-2252</v>
      </c>
      <c r="N112">
        <f t="shared" si="5"/>
        <v>105</v>
      </c>
      <c r="O11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17-SCDFil-Lon15/8</v>
      </c>
    </row>
    <row r="113" spans="1:15" x14ac:dyDescent="0.3">
      <c r="A113" t="s">
        <v>24</v>
      </c>
      <c r="B113" t="s">
        <v>52</v>
      </c>
      <c r="C113" s="1">
        <v>42962</v>
      </c>
      <c r="D113" t="s">
        <v>80</v>
      </c>
      <c r="E113">
        <v>357</v>
      </c>
      <c r="F113">
        <f>IFERROR(VLOOKUP(E113,Margins!$A:$B,2,TRUE),"")</f>
        <v>0.25</v>
      </c>
      <c r="G113">
        <f t="shared" si="3"/>
        <v>26775</v>
      </c>
      <c r="H113" t="s">
        <v>66</v>
      </c>
      <c r="I113">
        <v>300</v>
      </c>
      <c r="J113">
        <f>IF(Table1[[#This Row],[Tickets Sold]]&gt;500,8,5)</f>
        <v>5</v>
      </c>
      <c r="K113">
        <v>192</v>
      </c>
      <c r="L113" t="str">
        <f>VLOOKUP(H113,Descriptions!A:B, 2, FALSE)</f>
        <v>Ticket + Air travel + Hotel Package</v>
      </c>
      <c r="M113">
        <f t="shared" ca="1" si="4"/>
        <v>-2252</v>
      </c>
      <c r="N113">
        <f t="shared" si="5"/>
        <v>17136</v>
      </c>
      <c r="O11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17-TA2Fil-Lon15/8</v>
      </c>
    </row>
    <row r="114" spans="1:15" x14ac:dyDescent="0.3">
      <c r="A114" t="s">
        <v>25</v>
      </c>
      <c r="B114" t="s">
        <v>52</v>
      </c>
      <c r="C114" s="1">
        <v>42898</v>
      </c>
      <c r="D114" t="s">
        <v>80</v>
      </c>
      <c r="E114">
        <v>37</v>
      </c>
      <c r="F114">
        <f>IFERROR(VLOOKUP(E114,Margins!$A:$B,2,TRUE),"")</f>
        <v>7.0000000000000007E-2</v>
      </c>
      <c r="G114">
        <f t="shared" si="3"/>
        <v>1844.0800000000002</v>
      </c>
      <c r="H114" t="s">
        <v>62</v>
      </c>
      <c r="I114">
        <v>712</v>
      </c>
      <c r="J114">
        <f>IF(Table1[[#This Row],[Tickets Sold]]&gt;500,8,5)</f>
        <v>8</v>
      </c>
      <c r="K114">
        <v>641</v>
      </c>
      <c r="L114" t="str">
        <f>VLOOKUP(H114,Descriptions!A:B, 2, FALSE)</f>
        <v>Seating Cat. 1</v>
      </c>
      <c r="M114">
        <f t="shared" ca="1" si="4"/>
        <v>-2297</v>
      </c>
      <c r="N114">
        <f t="shared" si="5"/>
        <v>1660.1900000000003</v>
      </c>
      <c r="O11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17-SC1Fil-Lon12/6</v>
      </c>
    </row>
    <row r="115" spans="1:15" x14ac:dyDescent="0.3">
      <c r="A115" t="s">
        <v>25</v>
      </c>
      <c r="B115" t="s">
        <v>52</v>
      </c>
      <c r="C115" s="1">
        <v>42898</v>
      </c>
      <c r="D115" t="s">
        <v>80</v>
      </c>
      <c r="E115">
        <v>106</v>
      </c>
      <c r="F115">
        <f>IFERROR(VLOOKUP(E115,Margins!$A:$B,2,TRUE),"")</f>
        <v>0.15</v>
      </c>
      <c r="G115">
        <f t="shared" si="3"/>
        <v>7361.6999999999989</v>
      </c>
      <c r="H115" t="s">
        <v>63</v>
      </c>
      <c r="I115">
        <v>463</v>
      </c>
      <c r="J115">
        <f>IF(Table1[[#This Row],[Tickets Sold]]&gt;500,8,5)</f>
        <v>5</v>
      </c>
      <c r="K115">
        <v>380</v>
      </c>
      <c r="L115" t="str">
        <f>VLOOKUP(H115,Descriptions!A:B, 2, FALSE)</f>
        <v>Seating Cat. 2</v>
      </c>
      <c r="M115">
        <f t="shared" ca="1" si="4"/>
        <v>-2297</v>
      </c>
      <c r="N115">
        <f t="shared" si="5"/>
        <v>6041.9999999999991</v>
      </c>
      <c r="O11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17-SC2Fil-Lon12/6</v>
      </c>
    </row>
    <row r="116" spans="1:15" x14ac:dyDescent="0.3">
      <c r="A116" t="s">
        <v>25</v>
      </c>
      <c r="B116" t="s">
        <v>52</v>
      </c>
      <c r="C116" s="1">
        <v>42898</v>
      </c>
      <c r="D116" t="s">
        <v>80</v>
      </c>
      <c r="E116">
        <v>116</v>
      </c>
      <c r="F116">
        <f>IFERROR(VLOOKUP(E116,Margins!$A:$B,2,TRUE),"")</f>
        <v>0.15</v>
      </c>
      <c r="G116">
        <f t="shared" si="3"/>
        <v>3793.2</v>
      </c>
      <c r="H116" t="s">
        <v>64</v>
      </c>
      <c r="I116">
        <v>218</v>
      </c>
      <c r="J116">
        <f>IF(Table1[[#This Row],[Tickets Sold]]&gt;500,8,5)</f>
        <v>5</v>
      </c>
      <c r="K116">
        <v>120</v>
      </c>
      <c r="L116" t="str">
        <f>VLOOKUP(H116,Descriptions!A:B, 2, FALSE)</f>
        <v>Seating Cat. 3</v>
      </c>
      <c r="M116">
        <f t="shared" ca="1" si="4"/>
        <v>-2297</v>
      </c>
      <c r="N116">
        <f t="shared" si="5"/>
        <v>2088</v>
      </c>
      <c r="O11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17-SC3Fil-Lon12/6</v>
      </c>
    </row>
    <row r="117" spans="1:15" x14ac:dyDescent="0.3">
      <c r="A117" t="s">
        <v>25</v>
      </c>
      <c r="B117" t="s">
        <v>52</v>
      </c>
      <c r="C117" s="1">
        <v>42898</v>
      </c>
      <c r="D117" t="s">
        <v>80</v>
      </c>
      <c r="E117">
        <v>240</v>
      </c>
      <c r="F117">
        <f>IFERROR(VLOOKUP(E117,Margins!$A:$B,2,TRUE),"")</f>
        <v>0.25</v>
      </c>
      <c r="G117">
        <f t="shared" si="3"/>
        <v>18000</v>
      </c>
      <c r="H117" t="s">
        <v>65</v>
      </c>
      <c r="I117">
        <v>300</v>
      </c>
      <c r="J117">
        <f>IF(Table1[[#This Row],[Tickets Sold]]&gt;500,8,5)</f>
        <v>5</v>
      </c>
      <c r="K117">
        <v>264</v>
      </c>
      <c r="L117" t="str">
        <f>VLOOKUP(H117,Descriptions!A:B, 2, FALSE)</f>
        <v>Ticket + Air travel Package</v>
      </c>
      <c r="M117">
        <f t="shared" ca="1" si="4"/>
        <v>-2297</v>
      </c>
      <c r="N117">
        <f t="shared" si="5"/>
        <v>15840</v>
      </c>
      <c r="O11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17-TA1Fil-Lon12/6</v>
      </c>
    </row>
    <row r="118" spans="1:15" x14ac:dyDescent="0.3">
      <c r="A118" t="s">
        <v>25</v>
      </c>
      <c r="B118" t="s">
        <v>52</v>
      </c>
      <c r="C118" s="1">
        <v>42898</v>
      </c>
      <c r="D118" t="s">
        <v>80</v>
      </c>
      <c r="E118">
        <v>305</v>
      </c>
      <c r="F118">
        <f>IFERROR(VLOOKUP(E118,Margins!$A:$B,2,TRUE),"")</f>
        <v>0.25</v>
      </c>
      <c r="G118">
        <f t="shared" si="3"/>
        <v>15250</v>
      </c>
      <c r="H118" t="s">
        <v>66</v>
      </c>
      <c r="I118">
        <v>200</v>
      </c>
      <c r="J118">
        <f>IF(Table1[[#This Row],[Tickets Sold]]&gt;500,8,5)</f>
        <v>5</v>
      </c>
      <c r="K118">
        <v>164</v>
      </c>
      <c r="L118" t="str">
        <f>VLOOKUP(H118,Descriptions!A:B, 2, FALSE)</f>
        <v>Ticket + Air travel + Hotel Package</v>
      </c>
      <c r="M118">
        <f t="shared" ca="1" si="4"/>
        <v>-2297</v>
      </c>
      <c r="N118">
        <f t="shared" si="5"/>
        <v>12505</v>
      </c>
      <c r="O11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17-TA2Fil-Lon12/6</v>
      </c>
    </row>
    <row r="119" spans="1:15" x14ac:dyDescent="0.3">
      <c r="A119" t="s">
        <v>25</v>
      </c>
      <c r="B119" t="s">
        <v>2</v>
      </c>
      <c r="C119" s="1">
        <v>42934</v>
      </c>
      <c r="D119" t="s">
        <v>80</v>
      </c>
      <c r="E119">
        <v>70</v>
      </c>
      <c r="F119">
        <f>IFERROR(VLOOKUP(E119,Margins!$A:$B,2,TRUE),"")</f>
        <v>0.1</v>
      </c>
      <c r="G119">
        <f t="shared" si="3"/>
        <v>3360</v>
      </c>
      <c r="H119" t="s">
        <v>62</v>
      </c>
      <c r="I119">
        <v>480</v>
      </c>
      <c r="J119">
        <f>IF(Table1[[#This Row],[Tickets Sold]]&gt;500,8,5)</f>
        <v>5</v>
      </c>
      <c r="K119">
        <v>322</v>
      </c>
      <c r="L119" t="str">
        <f>VLOOKUP(H119,Descriptions!A:B, 2, FALSE)</f>
        <v>Seating Cat. 1</v>
      </c>
      <c r="M119">
        <f t="shared" ca="1" si="4"/>
        <v>-2272</v>
      </c>
      <c r="N119">
        <f t="shared" si="5"/>
        <v>2254</v>
      </c>
      <c r="O11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17-SC1Fil-Vie18/7</v>
      </c>
    </row>
    <row r="120" spans="1:15" x14ac:dyDescent="0.3">
      <c r="A120" t="s">
        <v>14</v>
      </c>
      <c r="B120" t="s">
        <v>2</v>
      </c>
      <c r="C120" s="1">
        <v>42892</v>
      </c>
      <c r="D120" t="s">
        <v>3</v>
      </c>
      <c r="E120">
        <v>114</v>
      </c>
      <c r="F120">
        <f>IFERROR(VLOOKUP(E120,Margins!$A:$B,2,TRUE),"")</f>
        <v>0.15</v>
      </c>
      <c r="G120">
        <f t="shared" si="3"/>
        <v>5984.9999999999991</v>
      </c>
      <c r="H120" t="s">
        <v>63</v>
      </c>
      <c r="I120">
        <v>350</v>
      </c>
      <c r="J120">
        <f>IF(Table1[[#This Row],[Tickets Sold]]&gt;500,8,5)</f>
        <v>5</v>
      </c>
      <c r="K120">
        <v>305</v>
      </c>
      <c r="L120" t="str">
        <f>VLOOKUP(H120,Descriptions!A:B, 2, FALSE)</f>
        <v>Seating Cat. 2</v>
      </c>
      <c r="M120">
        <f t="shared" ca="1" si="4"/>
        <v>-2302</v>
      </c>
      <c r="N120">
        <f t="shared" si="5"/>
        <v>5215.4999999999991</v>
      </c>
      <c r="O12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17-SC2Fla-Vie6/6</v>
      </c>
    </row>
    <row r="121" spans="1:15" x14ac:dyDescent="0.3">
      <c r="A121" t="s">
        <v>14</v>
      </c>
      <c r="B121" t="s">
        <v>56</v>
      </c>
      <c r="C121" s="1">
        <v>42933</v>
      </c>
      <c r="D121" t="s">
        <v>3</v>
      </c>
      <c r="E121">
        <v>37</v>
      </c>
      <c r="F121">
        <f>IFERROR(VLOOKUP(E121,Margins!$A:$B,2,TRUE),"")</f>
        <v>7.0000000000000007E-2</v>
      </c>
      <c r="G121">
        <f t="shared" si="3"/>
        <v>1398.6000000000001</v>
      </c>
      <c r="H121" t="s">
        <v>62</v>
      </c>
      <c r="I121">
        <v>540</v>
      </c>
      <c r="J121">
        <f>IF(Table1[[#This Row],[Tickets Sold]]&gt;500,8,5)</f>
        <v>5</v>
      </c>
      <c r="K121">
        <v>432</v>
      </c>
      <c r="L121" t="str">
        <f>VLOOKUP(H121,Descriptions!A:B, 2, FALSE)</f>
        <v>Seating Cat. 1</v>
      </c>
      <c r="M121">
        <f t="shared" ca="1" si="4"/>
        <v>-2272</v>
      </c>
      <c r="N121">
        <f t="shared" si="5"/>
        <v>1118.8800000000001</v>
      </c>
      <c r="O12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17-SC1Fla-Edi17/7</v>
      </c>
    </row>
    <row r="122" spans="1:15" x14ac:dyDescent="0.3">
      <c r="A122" t="s">
        <v>14</v>
      </c>
      <c r="B122" t="s">
        <v>56</v>
      </c>
      <c r="C122" s="1">
        <v>42933</v>
      </c>
      <c r="D122" t="s">
        <v>3</v>
      </c>
      <c r="E122">
        <v>86</v>
      </c>
      <c r="F122">
        <f>IFERROR(VLOOKUP(E122,Margins!$A:$B,2,TRUE),"")</f>
        <v>0.1</v>
      </c>
      <c r="G122">
        <f t="shared" si="3"/>
        <v>2752</v>
      </c>
      <c r="H122" t="s">
        <v>63</v>
      </c>
      <c r="I122">
        <v>320</v>
      </c>
      <c r="J122">
        <f>IF(Table1[[#This Row],[Tickets Sold]]&gt;500,8,5)</f>
        <v>5</v>
      </c>
      <c r="K122">
        <v>212</v>
      </c>
      <c r="L122" t="str">
        <f>VLOOKUP(H122,Descriptions!A:B, 2, FALSE)</f>
        <v>Seating Cat. 2</v>
      </c>
      <c r="M122">
        <f t="shared" ca="1" si="4"/>
        <v>-2272</v>
      </c>
      <c r="N122">
        <f t="shared" si="5"/>
        <v>1823.1999999999998</v>
      </c>
      <c r="O12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17-SC2Fla-Edi17/7</v>
      </c>
    </row>
    <row r="123" spans="1:15" x14ac:dyDescent="0.3">
      <c r="A123" t="s">
        <v>14</v>
      </c>
      <c r="B123" t="s">
        <v>56</v>
      </c>
      <c r="C123" s="1">
        <v>42933</v>
      </c>
      <c r="D123" t="s">
        <v>3</v>
      </c>
      <c r="E123">
        <v>222</v>
      </c>
      <c r="F123">
        <f>IFERROR(VLOOKUP(E123,Margins!$A:$B,2,TRUE),"")</f>
        <v>0.25</v>
      </c>
      <c r="G123">
        <f t="shared" si="3"/>
        <v>16650</v>
      </c>
      <c r="H123" t="s">
        <v>65</v>
      </c>
      <c r="I123">
        <v>300</v>
      </c>
      <c r="J123">
        <f>IF(Table1[[#This Row],[Tickets Sold]]&gt;500,8,5)</f>
        <v>5</v>
      </c>
      <c r="K123">
        <v>156</v>
      </c>
      <c r="L123" t="str">
        <f>VLOOKUP(H123,Descriptions!A:B, 2, FALSE)</f>
        <v>Ticket + Air travel Package</v>
      </c>
      <c r="M123">
        <f t="shared" ca="1" si="4"/>
        <v>-2272</v>
      </c>
      <c r="N123">
        <f t="shared" si="5"/>
        <v>8658</v>
      </c>
      <c r="O12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17-TA1Fla-Edi17/7</v>
      </c>
    </row>
    <row r="124" spans="1:15" x14ac:dyDescent="0.3">
      <c r="A124" t="s">
        <v>14</v>
      </c>
      <c r="B124" t="s">
        <v>56</v>
      </c>
      <c r="C124" s="1">
        <v>42933</v>
      </c>
      <c r="D124" t="s">
        <v>3</v>
      </c>
      <c r="E124">
        <v>315</v>
      </c>
      <c r="F124">
        <f>IFERROR(VLOOKUP(E124,Margins!$A:$B,2,TRUE),"")</f>
        <v>0.25</v>
      </c>
      <c r="G124">
        <f t="shared" si="3"/>
        <v>23625</v>
      </c>
      <c r="H124" t="s">
        <v>66</v>
      </c>
      <c r="I124">
        <v>300</v>
      </c>
      <c r="J124">
        <f>IF(Table1[[#This Row],[Tickets Sold]]&gt;500,8,5)</f>
        <v>5</v>
      </c>
      <c r="K124">
        <v>195</v>
      </c>
      <c r="L124" t="str">
        <f>VLOOKUP(H124,Descriptions!A:B, 2, FALSE)</f>
        <v>Ticket + Air travel + Hotel Package</v>
      </c>
      <c r="M124">
        <f t="shared" ca="1" si="4"/>
        <v>-2272</v>
      </c>
      <c r="N124">
        <f t="shared" si="5"/>
        <v>15356.25</v>
      </c>
      <c r="O12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17-TA2Fla-Edi17/7</v>
      </c>
    </row>
    <row r="125" spans="1:15" x14ac:dyDescent="0.3">
      <c r="A125" t="s">
        <v>14</v>
      </c>
      <c r="B125" t="s">
        <v>56</v>
      </c>
      <c r="C125" s="1">
        <v>42934</v>
      </c>
      <c r="D125" t="s">
        <v>3</v>
      </c>
      <c r="E125">
        <v>78</v>
      </c>
      <c r="F125">
        <f>IFERROR(VLOOKUP(E125,Margins!$A:$B,2,TRUE),"")</f>
        <v>0.1</v>
      </c>
      <c r="G125">
        <f t="shared" si="3"/>
        <v>9750</v>
      </c>
      <c r="H125" t="s">
        <v>62</v>
      </c>
      <c r="I125">
        <v>1250</v>
      </c>
      <c r="J125">
        <f>IF(Table1[[#This Row],[Tickets Sold]]&gt;500,8,5)</f>
        <v>8</v>
      </c>
      <c r="K125">
        <v>850</v>
      </c>
      <c r="L125" t="str">
        <f>VLOOKUP(H125,Descriptions!A:B, 2, FALSE)</f>
        <v>Seating Cat. 1</v>
      </c>
      <c r="M125">
        <f t="shared" ca="1" si="4"/>
        <v>-2272</v>
      </c>
      <c r="N125">
        <f t="shared" si="5"/>
        <v>6630.0000000000009</v>
      </c>
      <c r="O12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17-SC1Fla-Edi18/7</v>
      </c>
    </row>
    <row r="126" spans="1:15" x14ac:dyDescent="0.3">
      <c r="A126" t="s">
        <v>14</v>
      </c>
      <c r="B126" t="s">
        <v>56</v>
      </c>
      <c r="C126" s="1">
        <v>42934</v>
      </c>
      <c r="D126" t="s">
        <v>3</v>
      </c>
      <c r="E126">
        <v>87</v>
      </c>
      <c r="F126">
        <f>IFERROR(VLOOKUP(E126,Margins!$A:$B,2,TRUE),"")</f>
        <v>0.1</v>
      </c>
      <c r="G126">
        <f t="shared" si="3"/>
        <v>3654.0000000000005</v>
      </c>
      <c r="H126" t="s">
        <v>63</v>
      </c>
      <c r="I126">
        <v>420</v>
      </c>
      <c r="J126">
        <f>IF(Table1[[#This Row],[Tickets Sold]]&gt;500,8,5)</f>
        <v>5</v>
      </c>
      <c r="K126">
        <v>353</v>
      </c>
      <c r="L126" t="str">
        <f>VLOOKUP(H126,Descriptions!A:B, 2, FALSE)</f>
        <v>Seating Cat. 2</v>
      </c>
      <c r="M126">
        <f t="shared" ca="1" si="4"/>
        <v>-2272</v>
      </c>
      <c r="N126">
        <f t="shared" si="5"/>
        <v>3071.1000000000004</v>
      </c>
      <c r="O12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17-SC2Fla-Edi18/7</v>
      </c>
    </row>
    <row r="127" spans="1:15" x14ac:dyDescent="0.3">
      <c r="A127" t="s">
        <v>14</v>
      </c>
      <c r="B127" t="s">
        <v>53</v>
      </c>
      <c r="C127" s="1">
        <v>42942</v>
      </c>
      <c r="D127" t="s">
        <v>3</v>
      </c>
      <c r="E127">
        <v>45</v>
      </c>
      <c r="F127">
        <f>IFERROR(VLOOKUP(E127,Margins!$A:$B,2,TRUE),"")</f>
        <v>7.0000000000000007E-2</v>
      </c>
      <c r="G127">
        <f t="shared" si="3"/>
        <v>2362.5000000000005</v>
      </c>
      <c r="H127" t="s">
        <v>62</v>
      </c>
      <c r="I127">
        <v>750</v>
      </c>
      <c r="J127">
        <f>IF(Table1[[#This Row],[Tickets Sold]]&gt;500,8,5)</f>
        <v>8</v>
      </c>
      <c r="K127">
        <v>615</v>
      </c>
      <c r="L127" t="str">
        <f>VLOOKUP(H127,Descriptions!A:B, 2, FALSE)</f>
        <v>Seating Cat. 1</v>
      </c>
      <c r="M127">
        <f t="shared" ca="1" si="4"/>
        <v>-2266</v>
      </c>
      <c r="N127">
        <f t="shared" si="5"/>
        <v>1937.2500000000002</v>
      </c>
      <c r="O12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17-SC1Fla-Ham26/7</v>
      </c>
    </row>
    <row r="128" spans="1:15" x14ac:dyDescent="0.3">
      <c r="A128" t="s">
        <v>14</v>
      </c>
      <c r="B128" t="s">
        <v>53</v>
      </c>
      <c r="C128" s="1">
        <v>42942</v>
      </c>
      <c r="D128" t="s">
        <v>3</v>
      </c>
      <c r="E128">
        <v>106</v>
      </c>
      <c r="F128">
        <f>IFERROR(VLOOKUP(E128,Margins!$A:$B,2,TRUE),"")</f>
        <v>0.15</v>
      </c>
      <c r="G128">
        <f t="shared" si="3"/>
        <v>3815.9999999999995</v>
      </c>
      <c r="H128" t="s">
        <v>63</v>
      </c>
      <c r="I128">
        <v>240</v>
      </c>
      <c r="J128">
        <f>IF(Table1[[#This Row],[Tickets Sold]]&gt;500,8,5)</f>
        <v>5</v>
      </c>
      <c r="K128">
        <v>212</v>
      </c>
      <c r="L128" t="str">
        <f>VLOOKUP(H128,Descriptions!A:B, 2, FALSE)</f>
        <v>Seating Cat. 2</v>
      </c>
      <c r="M128">
        <f t="shared" ca="1" si="4"/>
        <v>-2266</v>
      </c>
      <c r="N128">
        <f t="shared" si="5"/>
        <v>3370.7999999999997</v>
      </c>
      <c r="O12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17-SC2Fla-Ham26/7</v>
      </c>
    </row>
    <row r="129" spans="1:15" x14ac:dyDescent="0.3">
      <c r="A129" t="s">
        <v>14</v>
      </c>
      <c r="B129" t="s">
        <v>50</v>
      </c>
      <c r="C129" s="1">
        <v>42971</v>
      </c>
      <c r="D129" t="s">
        <v>3</v>
      </c>
      <c r="E129">
        <v>39</v>
      </c>
      <c r="F129">
        <f>IFERROR(VLOOKUP(E129,Margins!$A:$B,2,TRUE),"")</f>
        <v>7.0000000000000007E-2</v>
      </c>
      <c r="G129">
        <f t="shared" si="3"/>
        <v>2211.3000000000002</v>
      </c>
      <c r="H129" t="s">
        <v>62</v>
      </c>
      <c r="I129">
        <v>810</v>
      </c>
      <c r="J129">
        <f>IF(Table1[[#This Row],[Tickets Sold]]&gt;500,8,5)</f>
        <v>8</v>
      </c>
      <c r="K129">
        <v>738</v>
      </c>
      <c r="L129" t="str">
        <f>VLOOKUP(H129,Descriptions!A:B, 2, FALSE)</f>
        <v>Seating Cat. 1</v>
      </c>
      <c r="M129">
        <f t="shared" ca="1" si="4"/>
        <v>-2245</v>
      </c>
      <c r="N129">
        <f t="shared" si="5"/>
        <v>2014.7400000000002</v>
      </c>
      <c r="O12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17-SC1Fla-Lyo24/8</v>
      </c>
    </row>
    <row r="130" spans="1:15" x14ac:dyDescent="0.3">
      <c r="A130" t="s">
        <v>14</v>
      </c>
      <c r="B130" t="s">
        <v>50</v>
      </c>
      <c r="C130" s="1">
        <v>42971</v>
      </c>
      <c r="D130" t="s">
        <v>3</v>
      </c>
      <c r="E130">
        <v>74</v>
      </c>
      <c r="F130">
        <f>IFERROR(VLOOKUP(E130,Margins!$A:$B,2,TRUE),"")</f>
        <v>0.1</v>
      </c>
      <c r="G130">
        <f t="shared" ref="G130:G193" si="6">IFERROR(E130*F130*I130,"")</f>
        <v>1850</v>
      </c>
      <c r="H130" t="s">
        <v>63</v>
      </c>
      <c r="I130">
        <v>250</v>
      </c>
      <c r="J130">
        <f>IF(Table1[[#This Row],[Tickets Sold]]&gt;500,8,5)</f>
        <v>5</v>
      </c>
      <c r="K130">
        <v>163</v>
      </c>
      <c r="L130" t="str">
        <f>VLOOKUP(H130,Descriptions!A:B, 2, FALSE)</f>
        <v>Seating Cat. 2</v>
      </c>
      <c r="M130">
        <f t="shared" ref="M130:M193" ca="1" si="7">NETWORKDAYS(TODAY(), C130-1)</f>
        <v>-2245</v>
      </c>
      <c r="N130">
        <f t="shared" si="5"/>
        <v>1206.2</v>
      </c>
      <c r="O13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17-SC2Fla-Lyo24/8</v>
      </c>
    </row>
    <row r="131" spans="1:15" x14ac:dyDescent="0.3">
      <c r="A131" t="s">
        <v>23</v>
      </c>
      <c r="B131" t="s">
        <v>30</v>
      </c>
      <c r="C131" s="1">
        <v>42910</v>
      </c>
      <c r="D131" t="s">
        <v>81</v>
      </c>
      <c r="E131">
        <v>74</v>
      </c>
      <c r="F131">
        <f>IFERROR(VLOOKUP(E131,Margins!$A:$B,2,TRUE),"")</f>
        <v>0.1</v>
      </c>
      <c r="G131">
        <f t="shared" si="6"/>
        <v>7400</v>
      </c>
      <c r="H131" t="s">
        <v>62</v>
      </c>
      <c r="I131">
        <v>1000</v>
      </c>
      <c r="J131">
        <f>IF(Table1[[#This Row],[Tickets Sold]]&gt;500,8,5)</f>
        <v>8</v>
      </c>
      <c r="K131">
        <v>560</v>
      </c>
      <c r="L131" t="str">
        <f>VLOOKUP(H131,Descriptions!A:B, 2, FALSE)</f>
        <v>Seating Cat. 1</v>
      </c>
      <c r="M131">
        <f t="shared" ca="1" si="7"/>
        <v>-2288</v>
      </c>
      <c r="N131">
        <f t="shared" ref="N131:N194" si="8">E131*F131*K131</f>
        <v>4144</v>
      </c>
      <c r="O13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17-SC1Il -Ams24/6</v>
      </c>
    </row>
    <row r="132" spans="1:15" x14ac:dyDescent="0.3">
      <c r="A132" t="s">
        <v>23</v>
      </c>
      <c r="B132" t="s">
        <v>30</v>
      </c>
      <c r="C132" s="1">
        <v>42910</v>
      </c>
      <c r="D132" t="s">
        <v>81</v>
      </c>
      <c r="E132">
        <v>77</v>
      </c>
      <c r="F132">
        <f>IFERROR(VLOOKUP(E132,Margins!$A:$B,2,TRUE),"")</f>
        <v>0.1</v>
      </c>
      <c r="G132">
        <f t="shared" si="6"/>
        <v>3850</v>
      </c>
      <c r="H132" t="s">
        <v>63</v>
      </c>
      <c r="I132">
        <v>500</v>
      </c>
      <c r="J132">
        <f>IF(Table1[[#This Row],[Tickets Sold]]&gt;500,8,5)</f>
        <v>5</v>
      </c>
      <c r="K132">
        <v>255</v>
      </c>
      <c r="L132" t="str">
        <f>VLOOKUP(H132,Descriptions!A:B, 2, FALSE)</f>
        <v>Seating Cat. 2</v>
      </c>
      <c r="M132">
        <f t="shared" ca="1" si="7"/>
        <v>-2288</v>
      </c>
      <c r="N132">
        <f t="shared" si="8"/>
        <v>1963.5</v>
      </c>
      <c r="O13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17-SC2Il -Ams24/6</v>
      </c>
    </row>
    <row r="133" spans="1:15" x14ac:dyDescent="0.3">
      <c r="A133" t="s">
        <v>23</v>
      </c>
      <c r="B133" t="s">
        <v>30</v>
      </c>
      <c r="C133" s="1">
        <v>42910</v>
      </c>
      <c r="D133" t="s">
        <v>81</v>
      </c>
      <c r="E133">
        <v>136</v>
      </c>
      <c r="F133">
        <f>IFERROR(VLOOKUP(E133,Margins!$A:$B,2,TRUE),"")</f>
        <v>0.15</v>
      </c>
      <c r="G133">
        <f t="shared" si="6"/>
        <v>10200</v>
      </c>
      <c r="H133" t="s">
        <v>64</v>
      </c>
      <c r="I133">
        <v>500</v>
      </c>
      <c r="J133">
        <f>IF(Table1[[#This Row],[Tickets Sold]]&gt;500,8,5)</f>
        <v>5</v>
      </c>
      <c r="K133">
        <v>400</v>
      </c>
      <c r="L133" t="str">
        <f>VLOOKUP(H133,Descriptions!A:B, 2, FALSE)</f>
        <v>Seating Cat. 3</v>
      </c>
      <c r="M133">
        <f t="shared" ca="1" si="7"/>
        <v>-2288</v>
      </c>
      <c r="N133">
        <f t="shared" si="8"/>
        <v>8159.9999999999991</v>
      </c>
      <c r="O13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17-SC3Il -Ams24/6</v>
      </c>
    </row>
    <row r="134" spans="1:15" x14ac:dyDescent="0.3">
      <c r="A134" t="s">
        <v>23</v>
      </c>
      <c r="B134" t="s">
        <v>30</v>
      </c>
      <c r="C134" s="1">
        <v>42910</v>
      </c>
      <c r="D134" t="s">
        <v>81</v>
      </c>
      <c r="E134">
        <v>195</v>
      </c>
      <c r="F134">
        <f>IFERROR(VLOOKUP(E134,Margins!$A:$B,2,TRUE),"")</f>
        <v>0.15</v>
      </c>
      <c r="G134">
        <f t="shared" si="6"/>
        <v>8775</v>
      </c>
      <c r="H134" t="s">
        <v>65</v>
      </c>
      <c r="I134">
        <v>300</v>
      </c>
      <c r="J134">
        <f>IF(Table1[[#This Row],[Tickets Sold]]&gt;500,8,5)</f>
        <v>5</v>
      </c>
      <c r="K134">
        <v>261</v>
      </c>
      <c r="L134" t="str">
        <f>VLOOKUP(H134,Descriptions!A:B, 2, FALSE)</f>
        <v>Ticket + Air travel Package</v>
      </c>
      <c r="M134">
        <f t="shared" ca="1" si="7"/>
        <v>-2288</v>
      </c>
      <c r="N134">
        <f t="shared" si="8"/>
        <v>7634.25</v>
      </c>
      <c r="O13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17-TA1Il -Ams24/6</v>
      </c>
    </row>
    <row r="135" spans="1:15" x14ac:dyDescent="0.3">
      <c r="A135" t="s">
        <v>23</v>
      </c>
      <c r="B135" t="s">
        <v>30</v>
      </c>
      <c r="C135" s="1">
        <v>42911</v>
      </c>
      <c r="D135" t="s">
        <v>81</v>
      </c>
      <c r="E135">
        <v>35</v>
      </c>
      <c r="F135">
        <f>IFERROR(VLOOKUP(E135,Margins!$A:$B,2,TRUE),"")</f>
        <v>7.0000000000000007E-2</v>
      </c>
      <c r="G135">
        <f t="shared" si="6"/>
        <v>225.4</v>
      </c>
      <c r="H135" t="s">
        <v>67</v>
      </c>
      <c r="I135">
        <v>92</v>
      </c>
      <c r="J135">
        <f>IF(Table1[[#This Row],[Tickets Sold]]&gt;500,8,5)</f>
        <v>5</v>
      </c>
      <c r="K135">
        <v>56</v>
      </c>
      <c r="L135" t="str">
        <f>VLOOKUP(H135,Descriptions!A:B, 2, FALSE)</f>
        <v>Seating-disabled</v>
      </c>
      <c r="M135">
        <f t="shared" ca="1" si="7"/>
        <v>-2287</v>
      </c>
      <c r="N135">
        <f t="shared" si="8"/>
        <v>137.20000000000002</v>
      </c>
      <c r="O13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17-SCDIl -Ams25/6</v>
      </c>
    </row>
    <row r="136" spans="1:15" x14ac:dyDescent="0.3">
      <c r="A136" t="s">
        <v>23</v>
      </c>
      <c r="B136" t="s">
        <v>30</v>
      </c>
      <c r="C136" s="1">
        <v>42911</v>
      </c>
      <c r="D136" t="s">
        <v>81</v>
      </c>
      <c r="E136">
        <v>184</v>
      </c>
      <c r="F136">
        <f>IFERROR(VLOOKUP(E136,Margins!$A:$B,2,TRUE),"")</f>
        <v>0.15</v>
      </c>
      <c r="G136">
        <f t="shared" si="6"/>
        <v>8280</v>
      </c>
      <c r="H136" t="s">
        <v>62</v>
      </c>
      <c r="I136">
        <v>300</v>
      </c>
      <c r="J136">
        <f>IF(Table1[[#This Row],[Tickets Sold]]&gt;500,8,5)</f>
        <v>5</v>
      </c>
      <c r="K136">
        <v>225</v>
      </c>
      <c r="L136" t="str">
        <f>VLOOKUP(H136,Descriptions!A:B, 2, FALSE)</f>
        <v>Seating Cat. 1</v>
      </c>
      <c r="M136">
        <f t="shared" ca="1" si="7"/>
        <v>-2287</v>
      </c>
      <c r="N136">
        <f t="shared" si="8"/>
        <v>6209.9999999999991</v>
      </c>
      <c r="O13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17-SC1Il -Ams25/6</v>
      </c>
    </row>
    <row r="137" spans="1:15" x14ac:dyDescent="0.3">
      <c r="A137" t="s">
        <v>23</v>
      </c>
      <c r="B137" t="s">
        <v>30</v>
      </c>
      <c r="C137" s="1">
        <v>42911</v>
      </c>
      <c r="D137" t="s">
        <v>81</v>
      </c>
      <c r="E137">
        <v>330</v>
      </c>
      <c r="F137">
        <f>IFERROR(VLOOKUP(E137,Margins!$A:$B,2,TRUE),"")</f>
        <v>0.25</v>
      </c>
      <c r="G137">
        <f t="shared" si="6"/>
        <v>24750</v>
      </c>
      <c r="H137" t="s">
        <v>63</v>
      </c>
      <c r="I137">
        <v>300</v>
      </c>
      <c r="J137">
        <f>IF(Table1[[#This Row],[Tickets Sold]]&gt;500,8,5)</f>
        <v>5</v>
      </c>
      <c r="K137">
        <v>204</v>
      </c>
      <c r="L137" t="str">
        <f>VLOOKUP(H137,Descriptions!A:B, 2, FALSE)</f>
        <v>Seating Cat. 2</v>
      </c>
      <c r="M137">
        <f t="shared" ca="1" si="7"/>
        <v>-2287</v>
      </c>
      <c r="N137">
        <f t="shared" si="8"/>
        <v>16830</v>
      </c>
      <c r="O13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17-SC2Il -Ams25/6</v>
      </c>
    </row>
    <row r="138" spans="1:15" x14ac:dyDescent="0.3">
      <c r="A138" t="s">
        <v>23</v>
      </c>
      <c r="B138" t="s">
        <v>30</v>
      </c>
      <c r="C138" s="1">
        <v>42911</v>
      </c>
      <c r="D138" t="s">
        <v>81</v>
      </c>
      <c r="E138">
        <v>353</v>
      </c>
      <c r="F138">
        <f>IFERROR(VLOOKUP(E138,Margins!$A:$B,2,TRUE),"")</f>
        <v>0.25</v>
      </c>
      <c r="G138">
        <f t="shared" si="6"/>
        <v>17650</v>
      </c>
      <c r="H138" t="s">
        <v>66</v>
      </c>
      <c r="I138">
        <v>200</v>
      </c>
      <c r="J138">
        <f>IF(Table1[[#This Row],[Tickets Sold]]&gt;500,8,5)</f>
        <v>5</v>
      </c>
      <c r="K138">
        <v>164</v>
      </c>
      <c r="L138" t="str">
        <f>VLOOKUP(H138,Descriptions!A:B, 2, FALSE)</f>
        <v>Ticket + Air travel + Hotel Package</v>
      </c>
      <c r="M138">
        <f t="shared" ca="1" si="7"/>
        <v>-2287</v>
      </c>
      <c r="N138">
        <f t="shared" si="8"/>
        <v>14473</v>
      </c>
      <c r="O13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17-TA2Il -Ams25/6</v>
      </c>
    </row>
    <row r="139" spans="1:15" x14ac:dyDescent="0.3">
      <c r="A139" t="s">
        <v>23</v>
      </c>
      <c r="B139" t="s">
        <v>48</v>
      </c>
      <c r="C139" s="1">
        <v>42918</v>
      </c>
      <c r="D139" t="s">
        <v>81</v>
      </c>
      <c r="E139">
        <v>74</v>
      </c>
      <c r="F139">
        <f>IFERROR(VLOOKUP(E139,Margins!$A:$B,2,TRUE),"")</f>
        <v>0.1</v>
      </c>
      <c r="G139">
        <f t="shared" si="6"/>
        <v>5550</v>
      </c>
      <c r="H139" t="s">
        <v>62</v>
      </c>
      <c r="I139">
        <v>750</v>
      </c>
      <c r="J139">
        <f>IF(Table1[[#This Row],[Tickets Sold]]&gt;500,8,5)</f>
        <v>8</v>
      </c>
      <c r="K139">
        <v>570</v>
      </c>
      <c r="L139" t="str">
        <f>VLOOKUP(H139,Descriptions!A:B, 2, FALSE)</f>
        <v>Seating Cat. 1</v>
      </c>
      <c r="M139">
        <f t="shared" ca="1" si="7"/>
        <v>-2282</v>
      </c>
      <c r="N139">
        <f t="shared" si="8"/>
        <v>4218</v>
      </c>
      <c r="O13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17-SC1Il -Par2/7</v>
      </c>
    </row>
    <row r="140" spans="1:15" x14ac:dyDescent="0.3">
      <c r="A140" t="s">
        <v>23</v>
      </c>
      <c r="B140" t="s">
        <v>48</v>
      </c>
      <c r="C140" s="1">
        <v>42918</v>
      </c>
      <c r="D140" t="s">
        <v>81</v>
      </c>
      <c r="E140">
        <v>83</v>
      </c>
      <c r="F140">
        <f>IFERROR(VLOOKUP(E140,Margins!$A:$B,2,TRUE),"")</f>
        <v>0.1</v>
      </c>
      <c r="G140">
        <f t="shared" si="6"/>
        <v>3486.0000000000005</v>
      </c>
      <c r="H140" t="s">
        <v>63</v>
      </c>
      <c r="I140">
        <v>420</v>
      </c>
      <c r="J140">
        <f>IF(Table1[[#This Row],[Tickets Sold]]&gt;500,8,5)</f>
        <v>5</v>
      </c>
      <c r="K140">
        <v>353</v>
      </c>
      <c r="L140" t="str">
        <f>VLOOKUP(H140,Descriptions!A:B, 2, FALSE)</f>
        <v>Seating Cat. 2</v>
      </c>
      <c r="M140">
        <f t="shared" ca="1" si="7"/>
        <v>-2282</v>
      </c>
      <c r="N140">
        <f t="shared" si="8"/>
        <v>2929.9</v>
      </c>
      <c r="O14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17-SC2Il -Par2/7</v>
      </c>
    </row>
    <row r="141" spans="1:15" x14ac:dyDescent="0.3">
      <c r="A141" t="s">
        <v>23</v>
      </c>
      <c r="B141" t="s">
        <v>48</v>
      </c>
      <c r="C141" s="1">
        <v>42918</v>
      </c>
      <c r="D141" t="s">
        <v>81</v>
      </c>
      <c r="E141">
        <v>102</v>
      </c>
      <c r="F141">
        <f>IFERROR(VLOOKUP(E141,Margins!$A:$B,2,TRUE),"")</f>
        <v>0.15</v>
      </c>
      <c r="G141">
        <f t="shared" si="6"/>
        <v>3213</v>
      </c>
      <c r="H141" t="s">
        <v>64</v>
      </c>
      <c r="I141">
        <v>210</v>
      </c>
      <c r="J141">
        <f>IF(Table1[[#This Row],[Tickets Sold]]&gt;500,8,5)</f>
        <v>5</v>
      </c>
      <c r="K141">
        <v>160</v>
      </c>
      <c r="L141" t="str">
        <f>VLOOKUP(H141,Descriptions!A:B, 2, FALSE)</f>
        <v>Seating Cat. 3</v>
      </c>
      <c r="M141">
        <f t="shared" ca="1" si="7"/>
        <v>-2282</v>
      </c>
      <c r="N141">
        <f t="shared" si="8"/>
        <v>2448</v>
      </c>
      <c r="O14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17-SC3Il -Par2/7</v>
      </c>
    </row>
    <row r="142" spans="1:15" x14ac:dyDescent="0.3">
      <c r="A142" t="s">
        <v>23</v>
      </c>
      <c r="B142" t="s">
        <v>48</v>
      </c>
      <c r="C142" s="1">
        <v>42918</v>
      </c>
      <c r="D142" t="s">
        <v>81</v>
      </c>
      <c r="E142">
        <v>287</v>
      </c>
      <c r="F142">
        <f>IFERROR(VLOOKUP(E142,Margins!$A:$B,2,TRUE),"")</f>
        <v>0.25</v>
      </c>
      <c r="G142">
        <f t="shared" si="6"/>
        <v>21525</v>
      </c>
      <c r="H142" t="s">
        <v>65</v>
      </c>
      <c r="I142">
        <v>300</v>
      </c>
      <c r="J142">
        <f>IF(Table1[[#This Row],[Tickets Sold]]&gt;500,8,5)</f>
        <v>5</v>
      </c>
      <c r="K142">
        <v>246</v>
      </c>
      <c r="L142" t="str">
        <f>VLOOKUP(H142,Descriptions!A:B, 2, FALSE)</f>
        <v>Ticket + Air travel Package</v>
      </c>
      <c r="M142">
        <f t="shared" ca="1" si="7"/>
        <v>-2282</v>
      </c>
      <c r="N142">
        <f t="shared" si="8"/>
        <v>17650.5</v>
      </c>
      <c r="O14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17-TA1Il -Par2/7</v>
      </c>
    </row>
    <row r="143" spans="1:15" x14ac:dyDescent="0.3">
      <c r="A143" t="s">
        <v>23</v>
      </c>
      <c r="B143" t="s">
        <v>48</v>
      </c>
      <c r="C143" s="1">
        <v>42918</v>
      </c>
      <c r="D143" t="s">
        <v>81</v>
      </c>
      <c r="E143">
        <v>23</v>
      </c>
      <c r="F143">
        <f>IFERROR(VLOOKUP(E143,Margins!$A:$B,2,TRUE),"")</f>
        <v>7.0000000000000007E-2</v>
      </c>
      <c r="G143">
        <f t="shared" si="6"/>
        <v>82.11</v>
      </c>
      <c r="H143" t="s">
        <v>67</v>
      </c>
      <c r="I143">
        <v>51</v>
      </c>
      <c r="J143">
        <f>IF(Table1[[#This Row],[Tickets Sold]]&gt;500,8,5)</f>
        <v>5</v>
      </c>
      <c r="K143">
        <v>35</v>
      </c>
      <c r="L143" t="str">
        <f>VLOOKUP(H143,Descriptions!A:B, 2, FALSE)</f>
        <v>Seating-disabled</v>
      </c>
      <c r="M143">
        <f t="shared" ca="1" si="7"/>
        <v>-2282</v>
      </c>
      <c r="N143">
        <f t="shared" si="8"/>
        <v>56.35</v>
      </c>
      <c r="O14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17-SCDIl -Par2/7</v>
      </c>
    </row>
    <row r="144" spans="1:15" x14ac:dyDescent="0.3">
      <c r="A144" t="s">
        <v>23</v>
      </c>
      <c r="B144" t="s">
        <v>48</v>
      </c>
      <c r="C144" s="1">
        <v>42918</v>
      </c>
      <c r="D144" t="s">
        <v>81</v>
      </c>
      <c r="E144">
        <v>301</v>
      </c>
      <c r="F144">
        <f>IFERROR(VLOOKUP(E144,Margins!$A:$B,2,TRUE),"")</f>
        <v>0.25</v>
      </c>
      <c r="G144">
        <f t="shared" si="6"/>
        <v>22575</v>
      </c>
      <c r="H144" t="s">
        <v>66</v>
      </c>
      <c r="I144">
        <v>300</v>
      </c>
      <c r="J144">
        <f>IF(Table1[[#This Row],[Tickets Sold]]&gt;500,8,5)</f>
        <v>5</v>
      </c>
      <c r="K144">
        <v>186</v>
      </c>
      <c r="L144" t="str">
        <f>VLOOKUP(H144,Descriptions!A:B, 2, FALSE)</f>
        <v>Ticket + Air travel + Hotel Package</v>
      </c>
      <c r="M144">
        <f t="shared" ca="1" si="7"/>
        <v>-2282</v>
      </c>
      <c r="N144">
        <f t="shared" si="8"/>
        <v>13996.5</v>
      </c>
      <c r="O14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17-TA2Il -Par2/7</v>
      </c>
    </row>
    <row r="145" spans="1:15" x14ac:dyDescent="0.3">
      <c r="A145" t="s">
        <v>23</v>
      </c>
      <c r="B145" t="s">
        <v>51</v>
      </c>
      <c r="C145" s="1">
        <v>42952</v>
      </c>
      <c r="D145" t="s">
        <v>81</v>
      </c>
      <c r="E145">
        <v>63</v>
      </c>
      <c r="F145">
        <f>IFERROR(VLOOKUP(E145,Margins!$A:$B,2,TRUE),"")</f>
        <v>0.1</v>
      </c>
      <c r="G145">
        <f t="shared" si="6"/>
        <v>4044.6000000000004</v>
      </c>
      <c r="H145" t="s">
        <v>62</v>
      </c>
      <c r="I145">
        <v>642</v>
      </c>
      <c r="J145">
        <f>IF(Table1[[#This Row],[Tickets Sold]]&gt;500,8,5)</f>
        <v>8</v>
      </c>
      <c r="K145">
        <v>559</v>
      </c>
      <c r="L145" t="str">
        <f>VLOOKUP(H145,Descriptions!A:B, 2, FALSE)</f>
        <v>Seating Cat. 1</v>
      </c>
      <c r="M145">
        <f t="shared" ca="1" si="7"/>
        <v>-2258</v>
      </c>
      <c r="N145">
        <f t="shared" si="8"/>
        <v>3521.7000000000003</v>
      </c>
      <c r="O14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17-SC1Il -Bar5/8</v>
      </c>
    </row>
    <row r="146" spans="1:15" x14ac:dyDescent="0.3">
      <c r="A146" t="s">
        <v>23</v>
      </c>
      <c r="B146" t="s">
        <v>51</v>
      </c>
      <c r="C146" s="1">
        <v>42952</v>
      </c>
      <c r="D146" t="s">
        <v>81</v>
      </c>
      <c r="E146">
        <v>83</v>
      </c>
      <c r="F146">
        <f>IFERROR(VLOOKUP(E146,Margins!$A:$B,2,TRUE),"")</f>
        <v>0.1</v>
      </c>
      <c r="G146">
        <f t="shared" si="6"/>
        <v>2606.2000000000003</v>
      </c>
      <c r="H146" t="s">
        <v>63</v>
      </c>
      <c r="I146">
        <v>314</v>
      </c>
      <c r="J146">
        <f>IF(Table1[[#This Row],[Tickets Sold]]&gt;500,8,5)</f>
        <v>5</v>
      </c>
      <c r="K146">
        <v>299</v>
      </c>
      <c r="L146" t="str">
        <f>VLOOKUP(H146,Descriptions!A:B, 2, FALSE)</f>
        <v>Seating Cat. 2</v>
      </c>
      <c r="M146">
        <f t="shared" ca="1" si="7"/>
        <v>-2258</v>
      </c>
      <c r="N146">
        <f t="shared" si="8"/>
        <v>2481.7000000000003</v>
      </c>
      <c r="O14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17-SC2Il -Bar5/8</v>
      </c>
    </row>
    <row r="147" spans="1:15" x14ac:dyDescent="0.3">
      <c r="A147" t="s">
        <v>23</v>
      </c>
      <c r="B147" t="s">
        <v>51</v>
      </c>
      <c r="C147" s="1">
        <v>42952</v>
      </c>
      <c r="D147" t="s">
        <v>81</v>
      </c>
      <c r="E147">
        <v>27</v>
      </c>
      <c r="F147">
        <f>IFERROR(VLOOKUP(E147,Margins!$A:$B,2,TRUE),"")</f>
        <v>7.0000000000000007E-2</v>
      </c>
      <c r="G147">
        <f t="shared" si="6"/>
        <v>109.62</v>
      </c>
      <c r="H147" t="s">
        <v>67</v>
      </c>
      <c r="I147">
        <v>58</v>
      </c>
      <c r="J147">
        <f>IF(Table1[[#This Row],[Tickets Sold]]&gt;500,8,5)</f>
        <v>5</v>
      </c>
      <c r="K147">
        <v>38</v>
      </c>
      <c r="L147" t="str">
        <f>VLOOKUP(H147,Descriptions!A:B, 2, FALSE)</f>
        <v>Seating-disabled</v>
      </c>
      <c r="M147">
        <f t="shared" ca="1" si="7"/>
        <v>-2258</v>
      </c>
      <c r="N147">
        <f t="shared" si="8"/>
        <v>71.820000000000007</v>
      </c>
      <c r="O14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17-SCDIl -Bar5/8</v>
      </c>
    </row>
    <row r="148" spans="1:15" x14ac:dyDescent="0.3">
      <c r="A148" t="s">
        <v>23</v>
      </c>
      <c r="B148" t="s">
        <v>51</v>
      </c>
      <c r="C148" s="1">
        <v>42952</v>
      </c>
      <c r="D148" t="s">
        <v>81</v>
      </c>
      <c r="E148">
        <v>182</v>
      </c>
      <c r="F148">
        <f>IFERROR(VLOOKUP(E148,Margins!$A:$B,2,TRUE),"")</f>
        <v>0.15</v>
      </c>
      <c r="G148">
        <f t="shared" si="6"/>
        <v>8190</v>
      </c>
      <c r="H148" t="s">
        <v>65</v>
      </c>
      <c r="I148">
        <v>300</v>
      </c>
      <c r="J148">
        <f>IF(Table1[[#This Row],[Tickets Sold]]&gt;500,8,5)</f>
        <v>5</v>
      </c>
      <c r="K148">
        <v>282</v>
      </c>
      <c r="L148" t="str">
        <f>VLOOKUP(H148,Descriptions!A:B, 2, FALSE)</f>
        <v>Ticket + Air travel Package</v>
      </c>
      <c r="M148">
        <f t="shared" ca="1" si="7"/>
        <v>-2258</v>
      </c>
      <c r="N148">
        <f t="shared" si="8"/>
        <v>7698.6</v>
      </c>
      <c r="O14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17-TA1Il -Bar5/8</v>
      </c>
    </row>
    <row r="149" spans="1:15" x14ac:dyDescent="0.3">
      <c r="A149" t="s">
        <v>23</v>
      </c>
      <c r="B149" t="s">
        <v>51</v>
      </c>
      <c r="C149" s="1">
        <v>42952</v>
      </c>
      <c r="D149" t="s">
        <v>81</v>
      </c>
      <c r="E149">
        <v>325</v>
      </c>
      <c r="F149">
        <f>IFERROR(VLOOKUP(E149,Margins!$A:$B,2,TRUE),"")</f>
        <v>0.25</v>
      </c>
      <c r="G149">
        <f t="shared" si="6"/>
        <v>32500</v>
      </c>
      <c r="H149" t="s">
        <v>66</v>
      </c>
      <c r="I149">
        <v>400</v>
      </c>
      <c r="J149">
        <f>IF(Table1[[#This Row],[Tickets Sold]]&gt;500,8,5)</f>
        <v>5</v>
      </c>
      <c r="K149">
        <v>228</v>
      </c>
      <c r="L149" t="str">
        <f>VLOOKUP(H149,Descriptions!A:B, 2, FALSE)</f>
        <v>Ticket + Air travel + Hotel Package</v>
      </c>
      <c r="M149">
        <f t="shared" ca="1" si="7"/>
        <v>-2258</v>
      </c>
      <c r="N149">
        <f t="shared" si="8"/>
        <v>18525</v>
      </c>
      <c r="O14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17-TA2Il -Bar5/8</v>
      </c>
    </row>
    <row r="150" spans="1:15" x14ac:dyDescent="0.3">
      <c r="A150" t="s">
        <v>16</v>
      </c>
      <c r="B150" t="s">
        <v>54</v>
      </c>
      <c r="C150" s="1">
        <v>42911</v>
      </c>
      <c r="D150" t="s">
        <v>79</v>
      </c>
      <c r="E150">
        <v>68</v>
      </c>
      <c r="F150">
        <f>IFERROR(VLOOKUP(E150,Margins!$A:$B,2,TRUE),"")</f>
        <v>0.1</v>
      </c>
      <c r="G150">
        <f t="shared" si="6"/>
        <v>102000.00000000001</v>
      </c>
      <c r="H150" t="s">
        <v>68</v>
      </c>
      <c r="I150">
        <v>15000</v>
      </c>
      <c r="J150">
        <f>IF(Table1[[#This Row],[Tickets Sold]]&gt;500,8,5)</f>
        <v>8</v>
      </c>
      <c r="K150">
        <v>12150</v>
      </c>
      <c r="L150" t="str">
        <f>VLOOKUP(H150,Descriptions!A:B, 2, FALSE)</f>
        <v>General Admission (1 day)</v>
      </c>
      <c r="M150">
        <f t="shared" ca="1" si="7"/>
        <v>-2287</v>
      </c>
      <c r="N150">
        <f t="shared" si="8"/>
        <v>82620.000000000015</v>
      </c>
      <c r="O15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17-GA1Joe-Ber25/6</v>
      </c>
    </row>
    <row r="151" spans="1:15" x14ac:dyDescent="0.3">
      <c r="A151" t="s">
        <v>16</v>
      </c>
      <c r="B151" t="s">
        <v>54</v>
      </c>
      <c r="C151" s="1">
        <v>42911</v>
      </c>
      <c r="D151" t="s">
        <v>79</v>
      </c>
      <c r="E151">
        <v>34</v>
      </c>
      <c r="F151">
        <f>IFERROR(VLOOKUP(E151,Margins!$A:$B,2,TRUE),"")</f>
        <v>7.0000000000000007E-2</v>
      </c>
      <c r="G151">
        <f t="shared" si="6"/>
        <v>3617.6000000000004</v>
      </c>
      <c r="H151" t="s">
        <v>62</v>
      </c>
      <c r="I151">
        <v>1520</v>
      </c>
      <c r="J151">
        <f>IF(Table1[[#This Row],[Tickets Sold]]&gt;500,8,5)</f>
        <v>8</v>
      </c>
      <c r="K151">
        <v>1001</v>
      </c>
      <c r="L151" t="str">
        <f>VLOOKUP(H151,Descriptions!A:B, 2, FALSE)</f>
        <v>Seating Cat. 1</v>
      </c>
      <c r="M151">
        <f t="shared" ca="1" si="7"/>
        <v>-2287</v>
      </c>
      <c r="N151">
        <f t="shared" si="8"/>
        <v>2382.3800000000006</v>
      </c>
      <c r="O15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17-SC1Joe-Ber25/6</v>
      </c>
    </row>
    <row r="152" spans="1:15" x14ac:dyDescent="0.3">
      <c r="A152" t="s">
        <v>16</v>
      </c>
      <c r="B152" t="s">
        <v>54</v>
      </c>
      <c r="C152" s="1">
        <v>42911</v>
      </c>
      <c r="D152" t="s">
        <v>79</v>
      </c>
      <c r="E152">
        <v>297</v>
      </c>
      <c r="F152">
        <f>IFERROR(VLOOKUP(E152,Margins!$A:$B,2,TRUE),"")</f>
        <v>0.25</v>
      </c>
      <c r="G152">
        <f t="shared" si="6"/>
        <v>29700</v>
      </c>
      <c r="H152" t="s">
        <v>65</v>
      </c>
      <c r="I152">
        <v>400</v>
      </c>
      <c r="J152">
        <f>IF(Table1[[#This Row],[Tickets Sold]]&gt;500,8,5)</f>
        <v>5</v>
      </c>
      <c r="K152">
        <v>312</v>
      </c>
      <c r="L152" t="str">
        <f>VLOOKUP(H152,Descriptions!A:B, 2, FALSE)</f>
        <v>Ticket + Air travel Package</v>
      </c>
      <c r="M152">
        <f t="shared" ca="1" si="7"/>
        <v>-2287</v>
      </c>
      <c r="N152">
        <f t="shared" si="8"/>
        <v>23166</v>
      </c>
      <c r="O15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17-TA1Joe-Ber25/6</v>
      </c>
    </row>
    <row r="153" spans="1:15" x14ac:dyDescent="0.3">
      <c r="A153" t="s">
        <v>16</v>
      </c>
      <c r="B153" t="s">
        <v>54</v>
      </c>
      <c r="C153" s="1">
        <v>42911</v>
      </c>
      <c r="D153" t="s">
        <v>79</v>
      </c>
      <c r="E153">
        <v>382</v>
      </c>
      <c r="F153">
        <f>IFERROR(VLOOKUP(E153,Margins!$A:$B,2,TRUE),"")</f>
        <v>0.25</v>
      </c>
      <c r="G153">
        <f t="shared" si="6"/>
        <v>19100</v>
      </c>
      <c r="H153" t="s">
        <v>66</v>
      </c>
      <c r="I153">
        <v>200</v>
      </c>
      <c r="J153">
        <f>IF(Table1[[#This Row],[Tickets Sold]]&gt;500,8,5)</f>
        <v>5</v>
      </c>
      <c r="K153">
        <v>100</v>
      </c>
      <c r="L153" t="str">
        <f>VLOOKUP(H153,Descriptions!A:B, 2, FALSE)</f>
        <v>Ticket + Air travel + Hotel Package</v>
      </c>
      <c r="M153">
        <f t="shared" ca="1" si="7"/>
        <v>-2287</v>
      </c>
      <c r="N153">
        <f t="shared" si="8"/>
        <v>9550</v>
      </c>
      <c r="O15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17-TA2Joe-Ber25/6</v>
      </c>
    </row>
    <row r="154" spans="1:15" x14ac:dyDescent="0.3">
      <c r="A154" t="s">
        <v>16</v>
      </c>
      <c r="B154" t="s">
        <v>47</v>
      </c>
      <c r="C154" s="1">
        <v>42927</v>
      </c>
      <c r="D154" t="s">
        <v>79</v>
      </c>
      <c r="E154">
        <v>61</v>
      </c>
      <c r="F154">
        <f>IFERROR(VLOOKUP(E154,Margins!$A:$B,2,TRUE),"")</f>
        <v>0.1</v>
      </c>
      <c r="G154">
        <f t="shared" si="6"/>
        <v>76250</v>
      </c>
      <c r="H154" t="s">
        <v>68</v>
      </c>
      <c r="I154">
        <v>12500</v>
      </c>
      <c r="J154">
        <f>IF(Table1[[#This Row],[Tickets Sold]]&gt;500,8,5)</f>
        <v>8</v>
      </c>
      <c r="K154">
        <v>11250</v>
      </c>
      <c r="L154" t="str">
        <f>VLOOKUP(H154,Descriptions!A:B, 2, FALSE)</f>
        <v>General Admission (1 day)</v>
      </c>
      <c r="M154">
        <f t="shared" ca="1" si="7"/>
        <v>-2277</v>
      </c>
      <c r="N154">
        <f t="shared" si="8"/>
        <v>68625</v>
      </c>
      <c r="O15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17-GA1Joe-Sto11/7</v>
      </c>
    </row>
    <row r="155" spans="1:15" x14ac:dyDescent="0.3">
      <c r="A155" t="s">
        <v>16</v>
      </c>
      <c r="B155" t="s">
        <v>51</v>
      </c>
      <c r="C155" s="1">
        <v>42957</v>
      </c>
      <c r="D155" t="s">
        <v>79</v>
      </c>
      <c r="E155">
        <v>78</v>
      </c>
      <c r="F155">
        <f>IFERROR(VLOOKUP(E155,Margins!$A:$B,2,TRUE),"")</f>
        <v>0.1</v>
      </c>
      <c r="G155">
        <f t="shared" si="6"/>
        <v>105222.00000000001</v>
      </c>
      <c r="H155" t="s">
        <v>68</v>
      </c>
      <c r="I155">
        <v>13490</v>
      </c>
      <c r="J155">
        <f>IF(Table1[[#This Row],[Tickets Sold]]&gt;500,8,5)</f>
        <v>8</v>
      </c>
      <c r="K155">
        <v>11467</v>
      </c>
      <c r="L155" t="str">
        <f>VLOOKUP(H155,Descriptions!A:B, 2, FALSE)</f>
        <v>General Admission (1 day)</v>
      </c>
      <c r="M155">
        <f t="shared" ca="1" si="7"/>
        <v>-2255</v>
      </c>
      <c r="N155">
        <f t="shared" si="8"/>
        <v>89442.6</v>
      </c>
      <c r="O15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17-GA1Joe-Bar10/8</v>
      </c>
    </row>
    <row r="156" spans="1:15" x14ac:dyDescent="0.3">
      <c r="A156" t="s">
        <v>16</v>
      </c>
      <c r="B156" t="s">
        <v>52</v>
      </c>
      <c r="C156" s="1">
        <v>42959</v>
      </c>
      <c r="D156" t="s">
        <v>79</v>
      </c>
      <c r="E156">
        <v>80</v>
      </c>
      <c r="F156">
        <f>IFERROR(VLOOKUP(E156,Margins!$A:$B,2,TRUE),"")</f>
        <v>0.1</v>
      </c>
      <c r="G156">
        <f t="shared" si="6"/>
        <v>102400</v>
      </c>
      <c r="H156" t="s">
        <v>68</v>
      </c>
      <c r="I156">
        <v>12800</v>
      </c>
      <c r="J156">
        <f>IF(Table1[[#This Row],[Tickets Sold]]&gt;500,8,5)</f>
        <v>8</v>
      </c>
      <c r="K156">
        <v>7680</v>
      </c>
      <c r="L156" t="str">
        <f>VLOOKUP(H156,Descriptions!A:B, 2, FALSE)</f>
        <v>General Admission (1 day)</v>
      </c>
      <c r="M156">
        <f t="shared" ca="1" si="7"/>
        <v>-2253</v>
      </c>
      <c r="N156">
        <f t="shared" si="8"/>
        <v>61440</v>
      </c>
      <c r="O15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17-GA1Joe-Lon12/8</v>
      </c>
    </row>
    <row r="157" spans="1:15" x14ac:dyDescent="0.3">
      <c r="A157" t="s">
        <v>16</v>
      </c>
      <c r="B157" t="s">
        <v>52</v>
      </c>
      <c r="C157" s="1">
        <v>42959</v>
      </c>
      <c r="D157" t="s">
        <v>79</v>
      </c>
      <c r="E157">
        <v>31</v>
      </c>
      <c r="F157">
        <f>IFERROR(VLOOKUP(E157,Margins!$A:$B,2,TRUE),"")</f>
        <v>7.0000000000000007E-2</v>
      </c>
      <c r="G157">
        <f t="shared" si="6"/>
        <v>1063.3000000000002</v>
      </c>
      <c r="H157" t="s">
        <v>62</v>
      </c>
      <c r="I157">
        <v>490</v>
      </c>
      <c r="J157">
        <f>IF(Table1[[#This Row],[Tickets Sold]]&gt;500,8,5)</f>
        <v>5</v>
      </c>
      <c r="K157">
        <v>378</v>
      </c>
      <c r="L157" t="str">
        <f>VLOOKUP(H157,Descriptions!A:B, 2, FALSE)</f>
        <v>Seating Cat. 1</v>
      </c>
      <c r="M157">
        <f t="shared" ca="1" si="7"/>
        <v>-2253</v>
      </c>
      <c r="N157">
        <f t="shared" si="8"/>
        <v>820.2600000000001</v>
      </c>
      <c r="O15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17-SC1Joe-Lon12/8</v>
      </c>
    </row>
    <row r="158" spans="1:15" x14ac:dyDescent="0.3">
      <c r="A158" t="s">
        <v>16</v>
      </c>
      <c r="B158" t="s">
        <v>52</v>
      </c>
      <c r="C158" s="1">
        <v>42959</v>
      </c>
      <c r="D158" t="s">
        <v>79</v>
      </c>
      <c r="E158">
        <v>190</v>
      </c>
      <c r="F158">
        <f>IFERROR(VLOOKUP(E158,Margins!$A:$B,2,TRUE),"")</f>
        <v>0.15</v>
      </c>
      <c r="G158">
        <f t="shared" si="6"/>
        <v>8550</v>
      </c>
      <c r="H158" t="s">
        <v>65</v>
      </c>
      <c r="I158">
        <v>300</v>
      </c>
      <c r="J158">
        <f>IF(Table1[[#This Row],[Tickets Sold]]&gt;500,8,5)</f>
        <v>5</v>
      </c>
      <c r="K158">
        <v>195</v>
      </c>
      <c r="L158" t="str">
        <f>VLOOKUP(H158,Descriptions!A:B, 2, FALSE)</f>
        <v>Ticket + Air travel Package</v>
      </c>
      <c r="M158">
        <f t="shared" ca="1" si="7"/>
        <v>-2253</v>
      </c>
      <c r="N158">
        <f t="shared" si="8"/>
        <v>5557.5</v>
      </c>
      <c r="O15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17-TA1Joe-Lon12/8</v>
      </c>
    </row>
    <row r="159" spans="1:15" x14ac:dyDescent="0.3">
      <c r="A159" t="s">
        <v>16</v>
      </c>
      <c r="B159" t="s">
        <v>52</v>
      </c>
      <c r="C159" s="1">
        <v>42959</v>
      </c>
      <c r="D159" t="s">
        <v>79</v>
      </c>
      <c r="E159">
        <v>381</v>
      </c>
      <c r="F159">
        <f>IFERROR(VLOOKUP(E159,Margins!$A:$B,2,TRUE),"")</f>
        <v>0.25</v>
      </c>
      <c r="G159">
        <f t="shared" si="6"/>
        <v>38100</v>
      </c>
      <c r="H159" t="s">
        <v>66</v>
      </c>
      <c r="I159">
        <v>400</v>
      </c>
      <c r="J159">
        <f>IF(Table1[[#This Row],[Tickets Sold]]&gt;500,8,5)</f>
        <v>5</v>
      </c>
      <c r="K159">
        <v>336</v>
      </c>
      <c r="L159" t="str">
        <f>VLOOKUP(H159,Descriptions!A:B, 2, FALSE)</f>
        <v>Ticket + Air travel + Hotel Package</v>
      </c>
      <c r="M159">
        <f t="shared" ca="1" si="7"/>
        <v>-2253</v>
      </c>
      <c r="N159">
        <f t="shared" si="8"/>
        <v>32004</v>
      </c>
      <c r="O15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17-TA2Joe-Lon12/8</v>
      </c>
    </row>
    <row r="160" spans="1:15" x14ac:dyDescent="0.3">
      <c r="A160" t="s">
        <v>16</v>
      </c>
      <c r="B160" t="s">
        <v>50</v>
      </c>
      <c r="C160" s="1">
        <v>42971</v>
      </c>
      <c r="D160" t="s">
        <v>79</v>
      </c>
      <c r="E160">
        <v>65</v>
      </c>
      <c r="F160">
        <f>IFERROR(VLOOKUP(E160,Margins!$A:$B,2,TRUE),"")</f>
        <v>0.1</v>
      </c>
      <c r="G160">
        <f t="shared" si="6"/>
        <v>63570</v>
      </c>
      <c r="H160" t="s">
        <v>68</v>
      </c>
      <c r="I160">
        <v>9780</v>
      </c>
      <c r="J160">
        <f>IF(Table1[[#This Row],[Tickets Sold]]&gt;500,8,5)</f>
        <v>8</v>
      </c>
      <c r="K160">
        <v>7727</v>
      </c>
      <c r="L160" t="str">
        <f>VLOOKUP(H160,Descriptions!A:B, 2, FALSE)</f>
        <v>General Admission (1 day)</v>
      </c>
      <c r="M160">
        <f t="shared" ca="1" si="7"/>
        <v>-2245</v>
      </c>
      <c r="N160">
        <f t="shared" si="8"/>
        <v>50225.5</v>
      </c>
      <c r="O16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17-GA1Joe-Lyo24/8</v>
      </c>
    </row>
    <row r="161" spans="1:15" x14ac:dyDescent="0.3">
      <c r="A161" t="s">
        <v>16</v>
      </c>
      <c r="B161" t="s">
        <v>50</v>
      </c>
      <c r="C161" s="1">
        <v>42971</v>
      </c>
      <c r="D161" t="s">
        <v>79</v>
      </c>
      <c r="E161">
        <v>80</v>
      </c>
      <c r="F161">
        <f>IFERROR(VLOOKUP(E161,Margins!$A:$B,2,TRUE),"")</f>
        <v>0.1</v>
      </c>
      <c r="G161">
        <f t="shared" si="6"/>
        <v>9920</v>
      </c>
      <c r="H161" t="s">
        <v>62</v>
      </c>
      <c r="I161">
        <v>1240</v>
      </c>
      <c r="J161">
        <f>IF(Table1[[#This Row],[Tickets Sold]]&gt;500,8,5)</f>
        <v>8</v>
      </c>
      <c r="K161">
        <v>1116</v>
      </c>
      <c r="L161" t="str">
        <f>VLOOKUP(H161,Descriptions!A:B, 2, FALSE)</f>
        <v>Seating Cat. 1</v>
      </c>
      <c r="M161">
        <f t="shared" ca="1" si="7"/>
        <v>-2245</v>
      </c>
      <c r="N161">
        <f t="shared" si="8"/>
        <v>8928</v>
      </c>
      <c r="O16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17-SC1Joe-Lyo24/8</v>
      </c>
    </row>
    <row r="162" spans="1:15" x14ac:dyDescent="0.3">
      <c r="A162" t="s">
        <v>35</v>
      </c>
      <c r="B162" t="s">
        <v>52</v>
      </c>
      <c r="C162" s="1">
        <v>42936</v>
      </c>
      <c r="D162" t="s">
        <v>80</v>
      </c>
      <c r="E162">
        <v>78</v>
      </c>
      <c r="F162">
        <f>IFERROR(VLOOKUP(E162,Margins!$A:$B,2,TRUE),"")</f>
        <v>0.1</v>
      </c>
      <c r="G162">
        <f t="shared" si="6"/>
        <v>3510.0000000000005</v>
      </c>
      <c r="H162" t="s">
        <v>62</v>
      </c>
      <c r="I162">
        <v>450</v>
      </c>
      <c r="J162">
        <f>IF(Table1[[#This Row],[Tickets Sold]]&gt;500,8,5)</f>
        <v>5</v>
      </c>
      <c r="K162">
        <v>329</v>
      </c>
      <c r="L162" t="str">
        <f>VLOOKUP(H162,Descriptions!A:B, 2, FALSE)</f>
        <v>Seating Cat. 1</v>
      </c>
      <c r="M162">
        <f t="shared" ca="1" si="7"/>
        <v>-2270</v>
      </c>
      <c r="N162">
        <f t="shared" si="8"/>
        <v>2566.2000000000003</v>
      </c>
      <c r="O16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17-SC1Joh-Lon20/7</v>
      </c>
    </row>
    <row r="163" spans="1:15" x14ac:dyDescent="0.3">
      <c r="A163" t="s">
        <v>35</v>
      </c>
      <c r="B163" t="s">
        <v>52</v>
      </c>
      <c r="C163" s="1">
        <v>42936</v>
      </c>
      <c r="D163" t="s">
        <v>80</v>
      </c>
      <c r="E163">
        <v>91</v>
      </c>
      <c r="F163">
        <f>IFERROR(VLOOKUP(E163,Margins!$A:$B,2,TRUE),"")</f>
        <v>0.1</v>
      </c>
      <c r="G163">
        <f t="shared" si="6"/>
        <v>1911</v>
      </c>
      <c r="H163" t="s">
        <v>63</v>
      </c>
      <c r="I163">
        <v>210</v>
      </c>
      <c r="J163">
        <f>IF(Table1[[#This Row],[Tickets Sold]]&gt;500,8,5)</f>
        <v>5</v>
      </c>
      <c r="K163">
        <v>139</v>
      </c>
      <c r="L163" t="str">
        <f>VLOOKUP(H163,Descriptions!A:B, 2, FALSE)</f>
        <v>Seating Cat. 2</v>
      </c>
      <c r="M163">
        <f t="shared" ca="1" si="7"/>
        <v>-2270</v>
      </c>
      <c r="N163">
        <f t="shared" si="8"/>
        <v>1264.8999999999999</v>
      </c>
      <c r="O16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17-SC2Joh-Lon20/7</v>
      </c>
    </row>
    <row r="164" spans="1:15" x14ac:dyDescent="0.3">
      <c r="A164" t="s">
        <v>35</v>
      </c>
      <c r="B164" t="s">
        <v>52</v>
      </c>
      <c r="C164" s="1">
        <v>42936</v>
      </c>
      <c r="D164" t="s">
        <v>80</v>
      </c>
      <c r="E164">
        <v>178</v>
      </c>
      <c r="F164">
        <f>IFERROR(VLOOKUP(E164,Margins!$A:$B,2,TRUE),"")</f>
        <v>0.15</v>
      </c>
      <c r="G164">
        <f t="shared" si="6"/>
        <v>5340</v>
      </c>
      <c r="H164" t="s">
        <v>64</v>
      </c>
      <c r="I164">
        <v>200</v>
      </c>
      <c r="J164">
        <f>IF(Table1[[#This Row],[Tickets Sold]]&gt;500,8,5)</f>
        <v>5</v>
      </c>
      <c r="K164">
        <v>110</v>
      </c>
      <c r="L164" t="str">
        <f>VLOOKUP(H164,Descriptions!A:B, 2, FALSE)</f>
        <v>Seating Cat. 3</v>
      </c>
      <c r="M164">
        <f t="shared" ca="1" si="7"/>
        <v>-2270</v>
      </c>
      <c r="N164">
        <f t="shared" si="8"/>
        <v>2937</v>
      </c>
      <c r="O16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17-SC3Joh-Lon20/7</v>
      </c>
    </row>
    <row r="165" spans="1:15" x14ac:dyDescent="0.3">
      <c r="A165" t="s">
        <v>35</v>
      </c>
      <c r="B165" t="s">
        <v>52</v>
      </c>
      <c r="C165" s="1">
        <v>42936</v>
      </c>
      <c r="D165" t="s">
        <v>80</v>
      </c>
      <c r="E165">
        <v>200</v>
      </c>
      <c r="F165">
        <f>IFERROR(VLOOKUP(E165,Margins!$A:$B,2,TRUE),"")</f>
        <v>0.25</v>
      </c>
      <c r="G165">
        <f t="shared" si="6"/>
        <v>15000</v>
      </c>
      <c r="H165" t="s">
        <v>65</v>
      </c>
      <c r="I165">
        <v>300</v>
      </c>
      <c r="J165">
        <f>IF(Table1[[#This Row],[Tickets Sold]]&gt;500,8,5)</f>
        <v>5</v>
      </c>
      <c r="K165">
        <v>276</v>
      </c>
      <c r="L165" t="str">
        <f>VLOOKUP(H165,Descriptions!A:B, 2, FALSE)</f>
        <v>Ticket + Air travel Package</v>
      </c>
      <c r="M165">
        <f t="shared" ca="1" si="7"/>
        <v>-2270</v>
      </c>
      <c r="N165">
        <f t="shared" si="8"/>
        <v>13800</v>
      </c>
      <c r="O16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17-TA1Joh-Lon20/7</v>
      </c>
    </row>
    <row r="166" spans="1:15" x14ac:dyDescent="0.3">
      <c r="A166" t="s">
        <v>35</v>
      </c>
      <c r="B166" t="s">
        <v>52</v>
      </c>
      <c r="C166" s="1">
        <v>42936</v>
      </c>
      <c r="D166" t="s">
        <v>80</v>
      </c>
      <c r="E166">
        <v>359</v>
      </c>
      <c r="F166">
        <f>IFERROR(VLOOKUP(E166,Margins!$A:$B,2,TRUE),"")</f>
        <v>0.25</v>
      </c>
      <c r="G166">
        <f t="shared" si="6"/>
        <v>35900</v>
      </c>
      <c r="H166" t="s">
        <v>66</v>
      </c>
      <c r="I166">
        <v>400</v>
      </c>
      <c r="J166">
        <f>IF(Table1[[#This Row],[Tickets Sold]]&gt;500,8,5)</f>
        <v>5</v>
      </c>
      <c r="K166">
        <v>244</v>
      </c>
      <c r="L166" t="str">
        <f>VLOOKUP(H166,Descriptions!A:B, 2, FALSE)</f>
        <v>Ticket + Air travel + Hotel Package</v>
      </c>
      <c r="M166">
        <f t="shared" ca="1" si="7"/>
        <v>-2270</v>
      </c>
      <c r="N166">
        <f t="shared" si="8"/>
        <v>21899</v>
      </c>
      <c r="O16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17-TA2Joh-Lon20/7</v>
      </c>
    </row>
    <row r="167" spans="1:15" x14ac:dyDescent="0.3">
      <c r="A167" t="s">
        <v>35</v>
      </c>
      <c r="B167" t="s">
        <v>56</v>
      </c>
      <c r="C167" s="1">
        <v>42939</v>
      </c>
      <c r="D167" t="s">
        <v>80</v>
      </c>
      <c r="E167">
        <v>67</v>
      </c>
      <c r="F167">
        <f>IFERROR(VLOOKUP(E167,Margins!$A:$B,2,TRUE),"")</f>
        <v>0.1</v>
      </c>
      <c r="G167">
        <f t="shared" si="6"/>
        <v>3216</v>
      </c>
      <c r="H167" t="s">
        <v>62</v>
      </c>
      <c r="I167">
        <v>480</v>
      </c>
      <c r="J167">
        <f>IF(Table1[[#This Row],[Tickets Sold]]&gt;500,8,5)</f>
        <v>5</v>
      </c>
      <c r="K167">
        <v>317</v>
      </c>
      <c r="L167" t="str">
        <f>VLOOKUP(H167,Descriptions!A:B, 2, FALSE)</f>
        <v>Seating Cat. 1</v>
      </c>
      <c r="M167">
        <f t="shared" ca="1" si="7"/>
        <v>-2267</v>
      </c>
      <c r="N167">
        <f t="shared" si="8"/>
        <v>2123.9</v>
      </c>
      <c r="O16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17-SC1Joh-Edi23/7</v>
      </c>
    </row>
    <row r="168" spans="1:15" x14ac:dyDescent="0.3">
      <c r="A168" t="s">
        <v>35</v>
      </c>
      <c r="B168" t="s">
        <v>56</v>
      </c>
      <c r="C168" s="1">
        <v>42939</v>
      </c>
      <c r="D168" t="s">
        <v>80</v>
      </c>
      <c r="E168">
        <v>70</v>
      </c>
      <c r="F168">
        <f>IFERROR(VLOOKUP(E168,Margins!$A:$B,2,TRUE),"")</f>
        <v>0.1</v>
      </c>
      <c r="G168">
        <f t="shared" si="6"/>
        <v>1750</v>
      </c>
      <c r="H168" t="s">
        <v>63</v>
      </c>
      <c r="I168">
        <v>250</v>
      </c>
      <c r="J168">
        <f>IF(Table1[[#This Row],[Tickets Sold]]&gt;500,8,5)</f>
        <v>5</v>
      </c>
      <c r="K168">
        <v>148</v>
      </c>
      <c r="L168" t="str">
        <f>VLOOKUP(H168,Descriptions!A:B, 2, FALSE)</f>
        <v>Seating Cat. 2</v>
      </c>
      <c r="M168">
        <f t="shared" ca="1" si="7"/>
        <v>-2267</v>
      </c>
      <c r="N168">
        <f t="shared" si="8"/>
        <v>1036</v>
      </c>
      <c r="O16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17-SC2Joh-Edi23/7</v>
      </c>
    </row>
    <row r="169" spans="1:15" x14ac:dyDescent="0.3">
      <c r="A169" t="s">
        <v>35</v>
      </c>
      <c r="B169" t="s">
        <v>56</v>
      </c>
      <c r="C169" s="1">
        <v>42939</v>
      </c>
      <c r="D169" t="s">
        <v>80</v>
      </c>
      <c r="E169">
        <v>146</v>
      </c>
      <c r="F169">
        <f>IFERROR(VLOOKUP(E169,Margins!$A:$B,2,TRUE),"")</f>
        <v>0.15</v>
      </c>
      <c r="G169">
        <f t="shared" si="6"/>
        <v>2409</v>
      </c>
      <c r="H169" t="s">
        <v>64</v>
      </c>
      <c r="I169">
        <v>110</v>
      </c>
      <c r="J169">
        <f>IF(Table1[[#This Row],[Tickets Sold]]&gt;500,8,5)</f>
        <v>5</v>
      </c>
      <c r="K169">
        <v>104</v>
      </c>
      <c r="L169" t="str">
        <f>VLOOKUP(H169,Descriptions!A:B, 2, FALSE)</f>
        <v>Seating Cat. 3</v>
      </c>
      <c r="M169">
        <f t="shared" ca="1" si="7"/>
        <v>-2267</v>
      </c>
      <c r="N169">
        <f t="shared" si="8"/>
        <v>2277.6</v>
      </c>
      <c r="O16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17-SC3Joh-Edi23/7</v>
      </c>
    </row>
    <row r="170" spans="1:15" x14ac:dyDescent="0.3">
      <c r="A170" t="s">
        <v>35</v>
      </c>
      <c r="B170" t="s">
        <v>56</v>
      </c>
      <c r="C170" s="1">
        <v>42939</v>
      </c>
      <c r="D170" t="s">
        <v>80</v>
      </c>
      <c r="E170">
        <v>190</v>
      </c>
      <c r="F170">
        <f>IFERROR(VLOOKUP(E170,Margins!$A:$B,2,TRUE),"")</f>
        <v>0.15</v>
      </c>
      <c r="G170">
        <f t="shared" si="6"/>
        <v>8550</v>
      </c>
      <c r="H170" t="s">
        <v>65</v>
      </c>
      <c r="I170">
        <v>300</v>
      </c>
      <c r="J170">
        <f>IF(Table1[[#This Row],[Tickets Sold]]&gt;500,8,5)</f>
        <v>5</v>
      </c>
      <c r="K170">
        <v>270</v>
      </c>
      <c r="L170" t="str">
        <f>VLOOKUP(H170,Descriptions!A:B, 2, FALSE)</f>
        <v>Ticket + Air travel Package</v>
      </c>
      <c r="M170">
        <f t="shared" ca="1" si="7"/>
        <v>-2267</v>
      </c>
      <c r="N170">
        <f t="shared" si="8"/>
        <v>7695</v>
      </c>
      <c r="O17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17-TA1Joh-Edi23/7</v>
      </c>
    </row>
    <row r="171" spans="1:15" x14ac:dyDescent="0.3">
      <c r="A171" t="s">
        <v>35</v>
      </c>
      <c r="B171" t="s">
        <v>56</v>
      </c>
      <c r="C171" s="1">
        <v>42939</v>
      </c>
      <c r="D171" t="s">
        <v>80</v>
      </c>
      <c r="E171">
        <v>369</v>
      </c>
      <c r="F171">
        <f>IFERROR(VLOOKUP(E171,Margins!$A:$B,2,TRUE),"")</f>
        <v>0.25</v>
      </c>
      <c r="G171">
        <f t="shared" si="6"/>
        <v>27675</v>
      </c>
      <c r="H171" t="s">
        <v>66</v>
      </c>
      <c r="I171">
        <v>300</v>
      </c>
      <c r="J171">
        <f>IF(Table1[[#This Row],[Tickets Sold]]&gt;500,8,5)</f>
        <v>5</v>
      </c>
      <c r="K171">
        <v>156</v>
      </c>
      <c r="L171" t="str">
        <f>VLOOKUP(H171,Descriptions!A:B, 2, FALSE)</f>
        <v>Ticket + Air travel + Hotel Package</v>
      </c>
      <c r="M171">
        <f t="shared" ca="1" si="7"/>
        <v>-2267</v>
      </c>
      <c r="N171">
        <f t="shared" si="8"/>
        <v>14391</v>
      </c>
      <c r="O17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17-TA2Joh-Edi23/7</v>
      </c>
    </row>
    <row r="172" spans="1:15" x14ac:dyDescent="0.3">
      <c r="A172" t="s">
        <v>35</v>
      </c>
      <c r="B172" t="s">
        <v>47</v>
      </c>
      <c r="C172" s="1">
        <v>42941</v>
      </c>
      <c r="D172" t="s">
        <v>80</v>
      </c>
      <c r="E172">
        <v>58</v>
      </c>
      <c r="F172">
        <f>IFERROR(VLOOKUP(E172,Margins!$A:$B,2,TRUE),"")</f>
        <v>0.1</v>
      </c>
      <c r="G172">
        <f t="shared" si="6"/>
        <v>2262.0000000000005</v>
      </c>
      <c r="H172" t="s">
        <v>62</v>
      </c>
      <c r="I172">
        <v>390</v>
      </c>
      <c r="J172">
        <f>IF(Table1[[#This Row],[Tickets Sold]]&gt;500,8,5)</f>
        <v>5</v>
      </c>
      <c r="K172">
        <v>289</v>
      </c>
      <c r="L172" t="str">
        <f>VLOOKUP(H172,Descriptions!A:B, 2, FALSE)</f>
        <v>Seating Cat. 1</v>
      </c>
      <c r="M172">
        <f t="shared" ca="1" si="7"/>
        <v>-2267</v>
      </c>
      <c r="N172">
        <f t="shared" si="8"/>
        <v>1676.2000000000003</v>
      </c>
      <c r="O17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17-SC1Joh-Sto25/7</v>
      </c>
    </row>
    <row r="173" spans="1:15" x14ac:dyDescent="0.3">
      <c r="A173" t="s">
        <v>35</v>
      </c>
      <c r="B173" t="s">
        <v>47</v>
      </c>
      <c r="C173" s="1">
        <v>42941</v>
      </c>
      <c r="D173" t="s">
        <v>80</v>
      </c>
      <c r="E173">
        <v>97</v>
      </c>
      <c r="F173">
        <f>IFERROR(VLOOKUP(E173,Margins!$A:$B,2,TRUE),"")</f>
        <v>0.1</v>
      </c>
      <c r="G173">
        <f t="shared" si="6"/>
        <v>2182.5000000000005</v>
      </c>
      <c r="H173" t="s">
        <v>63</v>
      </c>
      <c r="I173">
        <v>225</v>
      </c>
      <c r="J173">
        <f>IF(Table1[[#This Row],[Tickets Sold]]&gt;500,8,5)</f>
        <v>5</v>
      </c>
      <c r="K173">
        <v>167</v>
      </c>
      <c r="L173" t="str">
        <f>VLOOKUP(H173,Descriptions!A:B, 2, FALSE)</f>
        <v>Seating Cat. 2</v>
      </c>
      <c r="M173">
        <f t="shared" ca="1" si="7"/>
        <v>-2267</v>
      </c>
      <c r="N173">
        <f t="shared" si="8"/>
        <v>1619.9</v>
      </c>
      <c r="O17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17-SC2Joh-Sto25/7</v>
      </c>
    </row>
    <row r="174" spans="1:15" x14ac:dyDescent="0.3">
      <c r="A174" t="s">
        <v>35</v>
      </c>
      <c r="B174" t="s">
        <v>47</v>
      </c>
      <c r="C174" s="1">
        <v>42941</v>
      </c>
      <c r="D174" t="s">
        <v>80</v>
      </c>
      <c r="E174">
        <v>119</v>
      </c>
      <c r="F174">
        <f>IFERROR(VLOOKUP(E174,Margins!$A:$B,2,TRUE),"")</f>
        <v>0.15</v>
      </c>
      <c r="G174">
        <f t="shared" si="6"/>
        <v>3569.9999999999995</v>
      </c>
      <c r="H174" t="s">
        <v>64</v>
      </c>
      <c r="I174">
        <v>200</v>
      </c>
      <c r="J174">
        <f>IF(Table1[[#This Row],[Tickets Sold]]&gt;500,8,5)</f>
        <v>5</v>
      </c>
      <c r="K174">
        <v>186</v>
      </c>
      <c r="L174" t="str">
        <f>VLOOKUP(H174,Descriptions!A:B, 2, FALSE)</f>
        <v>Seating Cat. 3</v>
      </c>
      <c r="M174">
        <f t="shared" ca="1" si="7"/>
        <v>-2267</v>
      </c>
      <c r="N174">
        <f t="shared" si="8"/>
        <v>3320.0999999999995</v>
      </c>
      <c r="O17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17-SC3Joh-Sto25/7</v>
      </c>
    </row>
    <row r="175" spans="1:15" x14ac:dyDescent="0.3">
      <c r="A175" t="s">
        <v>35</v>
      </c>
      <c r="B175" t="s">
        <v>47</v>
      </c>
      <c r="C175" s="1">
        <v>42941</v>
      </c>
      <c r="D175" t="s">
        <v>80</v>
      </c>
      <c r="E175">
        <v>221</v>
      </c>
      <c r="F175">
        <f>IFERROR(VLOOKUP(E175,Margins!$A:$B,2,TRUE),"")</f>
        <v>0.25</v>
      </c>
      <c r="G175">
        <f t="shared" si="6"/>
        <v>11050</v>
      </c>
      <c r="H175" t="s">
        <v>65</v>
      </c>
      <c r="I175">
        <v>200</v>
      </c>
      <c r="J175">
        <f>IF(Table1[[#This Row],[Tickets Sold]]&gt;500,8,5)</f>
        <v>5</v>
      </c>
      <c r="K175">
        <v>174</v>
      </c>
      <c r="L175" t="str">
        <f>VLOOKUP(H175,Descriptions!A:B, 2, FALSE)</f>
        <v>Ticket + Air travel Package</v>
      </c>
      <c r="M175">
        <f t="shared" ca="1" si="7"/>
        <v>-2267</v>
      </c>
      <c r="N175">
        <f t="shared" si="8"/>
        <v>9613.5</v>
      </c>
      <c r="O17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17-TA1Joh-Sto25/7</v>
      </c>
    </row>
    <row r="176" spans="1:15" x14ac:dyDescent="0.3">
      <c r="A176" t="s">
        <v>35</v>
      </c>
      <c r="B176" t="s">
        <v>47</v>
      </c>
      <c r="C176" s="1">
        <v>42941</v>
      </c>
      <c r="D176" t="s">
        <v>80</v>
      </c>
      <c r="E176">
        <v>335</v>
      </c>
      <c r="F176">
        <f>IFERROR(VLOOKUP(E176,Margins!$A:$B,2,TRUE),"")</f>
        <v>0.25</v>
      </c>
      <c r="G176">
        <f t="shared" si="6"/>
        <v>33500</v>
      </c>
      <c r="H176" t="s">
        <v>66</v>
      </c>
      <c r="I176">
        <v>400</v>
      </c>
      <c r="J176">
        <f>IF(Table1[[#This Row],[Tickets Sold]]&gt;500,8,5)</f>
        <v>5</v>
      </c>
      <c r="K176">
        <v>356</v>
      </c>
      <c r="L176" t="str">
        <f>VLOOKUP(H176,Descriptions!A:B, 2, FALSE)</f>
        <v>Ticket + Air travel + Hotel Package</v>
      </c>
      <c r="M176">
        <f t="shared" ca="1" si="7"/>
        <v>-2267</v>
      </c>
      <c r="N176">
        <f t="shared" si="8"/>
        <v>29815</v>
      </c>
      <c r="O17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17-TA2Joh-Sto25/7</v>
      </c>
    </row>
    <row r="177" spans="1:15" x14ac:dyDescent="0.3">
      <c r="A177" t="s">
        <v>27</v>
      </c>
      <c r="B177" t="s">
        <v>52</v>
      </c>
      <c r="C177" s="1">
        <v>42888</v>
      </c>
      <c r="D177" t="s">
        <v>81</v>
      </c>
      <c r="E177">
        <v>43</v>
      </c>
      <c r="F177">
        <f>IFERROR(VLOOKUP(E177,Margins!$A:$B,2,TRUE),"")</f>
        <v>7.0000000000000007E-2</v>
      </c>
      <c r="G177">
        <f t="shared" si="6"/>
        <v>2046.8000000000002</v>
      </c>
      <c r="H177" t="s">
        <v>62</v>
      </c>
      <c r="I177">
        <v>680</v>
      </c>
      <c r="J177">
        <f>IF(Table1[[#This Row],[Tickets Sold]]&gt;500,8,5)</f>
        <v>5</v>
      </c>
      <c r="K177">
        <v>340</v>
      </c>
      <c r="L177" t="str">
        <f>VLOOKUP(H177,Descriptions!A:B, 2, FALSE)</f>
        <v>Seating Cat. 1</v>
      </c>
      <c r="M177">
        <f t="shared" ca="1" si="7"/>
        <v>-2304</v>
      </c>
      <c r="N177">
        <f t="shared" si="8"/>
        <v>1023.4000000000001</v>
      </c>
      <c r="O17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17-SC1Lo -Lon2/6</v>
      </c>
    </row>
    <row r="178" spans="1:15" x14ac:dyDescent="0.3">
      <c r="A178" t="s">
        <v>27</v>
      </c>
      <c r="B178" t="s">
        <v>52</v>
      </c>
      <c r="C178" s="1">
        <v>42888</v>
      </c>
      <c r="D178" t="s">
        <v>81</v>
      </c>
      <c r="E178">
        <v>110</v>
      </c>
      <c r="F178">
        <f>IFERROR(VLOOKUP(E178,Margins!$A:$B,2,TRUE),"")</f>
        <v>0.15</v>
      </c>
      <c r="G178">
        <f t="shared" si="6"/>
        <v>4125</v>
      </c>
      <c r="H178" t="s">
        <v>63</v>
      </c>
      <c r="I178">
        <v>250</v>
      </c>
      <c r="J178">
        <f>IF(Table1[[#This Row],[Tickets Sold]]&gt;500,8,5)</f>
        <v>5</v>
      </c>
      <c r="K178">
        <v>228</v>
      </c>
      <c r="L178" t="str">
        <f>VLOOKUP(H178,Descriptions!A:B, 2, FALSE)</f>
        <v>Seating Cat. 2</v>
      </c>
      <c r="M178">
        <f t="shared" ca="1" si="7"/>
        <v>-2304</v>
      </c>
      <c r="N178">
        <f t="shared" si="8"/>
        <v>3762</v>
      </c>
      <c r="O17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17-SC2Lo -Lon2/6</v>
      </c>
    </row>
    <row r="179" spans="1:15" x14ac:dyDescent="0.3">
      <c r="A179" t="s">
        <v>27</v>
      </c>
      <c r="B179" t="s">
        <v>52</v>
      </c>
      <c r="C179" s="1">
        <v>42888</v>
      </c>
      <c r="D179" t="s">
        <v>81</v>
      </c>
      <c r="E179">
        <v>113</v>
      </c>
      <c r="F179">
        <f>IFERROR(VLOOKUP(E179,Margins!$A:$B,2,TRUE),"")</f>
        <v>0.15</v>
      </c>
      <c r="G179">
        <f t="shared" si="6"/>
        <v>3390</v>
      </c>
      <c r="H179" t="s">
        <v>64</v>
      </c>
      <c r="I179">
        <v>200</v>
      </c>
      <c r="J179">
        <f>IF(Table1[[#This Row],[Tickets Sold]]&gt;500,8,5)</f>
        <v>5</v>
      </c>
      <c r="K179">
        <v>132</v>
      </c>
      <c r="L179" t="str">
        <f>VLOOKUP(H179,Descriptions!A:B, 2, FALSE)</f>
        <v>Seating Cat. 3</v>
      </c>
      <c r="M179">
        <f t="shared" ca="1" si="7"/>
        <v>-2304</v>
      </c>
      <c r="N179">
        <f t="shared" si="8"/>
        <v>2237.4</v>
      </c>
      <c r="O17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17-SC3Lo -Lon2/6</v>
      </c>
    </row>
    <row r="180" spans="1:15" x14ac:dyDescent="0.3">
      <c r="A180" t="s">
        <v>27</v>
      </c>
      <c r="B180" t="s">
        <v>52</v>
      </c>
      <c r="C180" s="1">
        <v>42888</v>
      </c>
      <c r="D180" t="s">
        <v>81</v>
      </c>
      <c r="E180">
        <v>243</v>
      </c>
      <c r="F180">
        <f>IFERROR(VLOOKUP(E180,Margins!$A:$B,2,TRUE),"")</f>
        <v>0.25</v>
      </c>
      <c r="G180">
        <f t="shared" si="6"/>
        <v>18225</v>
      </c>
      <c r="H180" t="s">
        <v>65</v>
      </c>
      <c r="I180">
        <v>300</v>
      </c>
      <c r="J180">
        <f>IF(Table1[[#This Row],[Tickets Sold]]&gt;500,8,5)</f>
        <v>5</v>
      </c>
      <c r="K180">
        <v>228</v>
      </c>
      <c r="L180" t="str">
        <f>VLOOKUP(H180,Descriptions!A:B, 2, FALSE)</f>
        <v>Ticket + Air travel Package</v>
      </c>
      <c r="M180">
        <f t="shared" ca="1" si="7"/>
        <v>-2304</v>
      </c>
      <c r="N180">
        <f t="shared" si="8"/>
        <v>13851</v>
      </c>
      <c r="O18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17-TA1Lo -Lon2/6</v>
      </c>
    </row>
    <row r="181" spans="1:15" x14ac:dyDescent="0.3">
      <c r="A181" t="s">
        <v>27</v>
      </c>
      <c r="B181" t="s">
        <v>52</v>
      </c>
      <c r="C181" s="1">
        <v>42888</v>
      </c>
      <c r="D181" t="s">
        <v>81</v>
      </c>
      <c r="E181">
        <v>33</v>
      </c>
      <c r="F181">
        <f>IFERROR(VLOOKUP(E181,Margins!$A:$B,2,TRUE),"")</f>
        <v>7.0000000000000007E-2</v>
      </c>
      <c r="G181">
        <f t="shared" si="6"/>
        <v>131.67000000000002</v>
      </c>
      <c r="H181" t="s">
        <v>67</v>
      </c>
      <c r="I181">
        <v>57</v>
      </c>
      <c r="J181">
        <f>IF(Table1[[#This Row],[Tickets Sold]]&gt;500,8,5)</f>
        <v>5</v>
      </c>
      <c r="K181">
        <v>42</v>
      </c>
      <c r="L181" t="str">
        <f>VLOOKUP(H181,Descriptions!A:B, 2, FALSE)</f>
        <v>Seating-disabled</v>
      </c>
      <c r="M181">
        <f t="shared" ca="1" si="7"/>
        <v>-2304</v>
      </c>
      <c r="N181">
        <f t="shared" si="8"/>
        <v>97.02</v>
      </c>
      <c r="O18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17-SCDLo -Lon2/6</v>
      </c>
    </row>
    <row r="182" spans="1:15" x14ac:dyDescent="0.3">
      <c r="A182" t="s">
        <v>27</v>
      </c>
      <c r="B182" t="s">
        <v>52</v>
      </c>
      <c r="C182" s="1">
        <v>42888</v>
      </c>
      <c r="D182" t="s">
        <v>81</v>
      </c>
      <c r="E182">
        <v>312</v>
      </c>
      <c r="F182">
        <f>IFERROR(VLOOKUP(E182,Margins!$A:$B,2,TRUE),"")</f>
        <v>0.25</v>
      </c>
      <c r="G182">
        <f t="shared" si="6"/>
        <v>23400</v>
      </c>
      <c r="H182" t="s">
        <v>66</v>
      </c>
      <c r="I182">
        <v>300</v>
      </c>
      <c r="J182">
        <f>IF(Table1[[#This Row],[Tickets Sold]]&gt;500,8,5)</f>
        <v>5</v>
      </c>
      <c r="K182">
        <v>231</v>
      </c>
      <c r="L182" t="str">
        <f>VLOOKUP(H182,Descriptions!A:B, 2, FALSE)</f>
        <v>Ticket + Air travel + Hotel Package</v>
      </c>
      <c r="M182">
        <f t="shared" ca="1" si="7"/>
        <v>-2304</v>
      </c>
      <c r="N182">
        <f t="shared" si="8"/>
        <v>18018</v>
      </c>
      <c r="O18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17-TA2Lo -Lon2/6</v>
      </c>
    </row>
    <row r="183" spans="1:15" x14ac:dyDescent="0.3">
      <c r="A183" t="s">
        <v>27</v>
      </c>
      <c r="B183" t="s">
        <v>30</v>
      </c>
      <c r="C183" s="1">
        <v>42973</v>
      </c>
      <c r="D183" t="s">
        <v>81</v>
      </c>
      <c r="E183">
        <v>36</v>
      </c>
      <c r="F183">
        <f>IFERROR(VLOOKUP(E183,Margins!$A:$B,2,TRUE),"")</f>
        <v>7.0000000000000007E-2</v>
      </c>
      <c r="G183">
        <f t="shared" si="6"/>
        <v>1224.7200000000003</v>
      </c>
      <c r="H183" t="s">
        <v>62</v>
      </c>
      <c r="I183">
        <v>486</v>
      </c>
      <c r="J183">
        <f>IF(Table1[[#This Row],[Tickets Sold]]&gt;500,8,5)</f>
        <v>5</v>
      </c>
      <c r="K183">
        <v>443</v>
      </c>
      <c r="L183" t="str">
        <f>VLOOKUP(H183,Descriptions!A:B, 2, FALSE)</f>
        <v>Seating Cat. 1</v>
      </c>
      <c r="M183">
        <f t="shared" ca="1" si="7"/>
        <v>-2243</v>
      </c>
      <c r="N183">
        <f t="shared" si="8"/>
        <v>1116.3600000000001</v>
      </c>
      <c r="O18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17-SC1Lo -Ams26/8</v>
      </c>
    </row>
    <row r="184" spans="1:15" x14ac:dyDescent="0.3">
      <c r="A184" t="s">
        <v>27</v>
      </c>
      <c r="B184" t="s">
        <v>30</v>
      </c>
      <c r="C184" s="1">
        <v>42973</v>
      </c>
      <c r="D184" t="s">
        <v>81</v>
      </c>
      <c r="E184">
        <v>112</v>
      </c>
      <c r="F184">
        <f>IFERROR(VLOOKUP(E184,Margins!$A:$B,2,TRUE),"")</f>
        <v>0.15</v>
      </c>
      <c r="G184">
        <f t="shared" si="6"/>
        <v>6552</v>
      </c>
      <c r="H184" t="s">
        <v>63</v>
      </c>
      <c r="I184">
        <v>390</v>
      </c>
      <c r="J184">
        <f>IF(Table1[[#This Row],[Tickets Sold]]&gt;500,8,5)</f>
        <v>5</v>
      </c>
      <c r="K184">
        <v>305</v>
      </c>
      <c r="L184" t="str">
        <f>VLOOKUP(H184,Descriptions!A:B, 2, FALSE)</f>
        <v>Seating Cat. 2</v>
      </c>
      <c r="M184">
        <f t="shared" ca="1" si="7"/>
        <v>-2243</v>
      </c>
      <c r="N184">
        <f t="shared" si="8"/>
        <v>5124</v>
      </c>
      <c r="O18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17-SC2Lo -Ams26/8</v>
      </c>
    </row>
    <row r="185" spans="1:15" x14ac:dyDescent="0.3">
      <c r="A185" t="s">
        <v>27</v>
      </c>
      <c r="B185" t="s">
        <v>30</v>
      </c>
      <c r="C185" s="1">
        <v>42973</v>
      </c>
      <c r="D185" t="s">
        <v>81</v>
      </c>
      <c r="E185">
        <v>122</v>
      </c>
      <c r="F185">
        <f>IFERROR(VLOOKUP(E185,Margins!$A:$B,2,TRUE),"")</f>
        <v>0.15</v>
      </c>
      <c r="G185">
        <f t="shared" si="6"/>
        <v>3733.2000000000003</v>
      </c>
      <c r="H185" t="s">
        <v>64</v>
      </c>
      <c r="I185">
        <v>204</v>
      </c>
      <c r="J185">
        <f>IF(Table1[[#This Row],[Tickets Sold]]&gt;500,8,5)</f>
        <v>5</v>
      </c>
      <c r="K185">
        <v>184</v>
      </c>
      <c r="L185" t="str">
        <f>VLOOKUP(H185,Descriptions!A:B, 2, FALSE)</f>
        <v>Seating Cat. 3</v>
      </c>
      <c r="M185">
        <f t="shared" ca="1" si="7"/>
        <v>-2243</v>
      </c>
      <c r="N185">
        <f t="shared" si="8"/>
        <v>3367.2000000000003</v>
      </c>
      <c r="O18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17-SC3Lo -Ams26/8</v>
      </c>
    </row>
    <row r="186" spans="1:15" x14ac:dyDescent="0.3">
      <c r="A186" t="s">
        <v>27</v>
      </c>
      <c r="B186" t="s">
        <v>30</v>
      </c>
      <c r="C186" s="1">
        <v>42973</v>
      </c>
      <c r="D186" t="s">
        <v>81</v>
      </c>
      <c r="E186">
        <v>216</v>
      </c>
      <c r="F186">
        <f>IFERROR(VLOOKUP(E186,Margins!$A:$B,2,TRUE),"")</f>
        <v>0.25</v>
      </c>
      <c r="G186">
        <f t="shared" si="6"/>
        <v>16200</v>
      </c>
      <c r="H186" t="s">
        <v>65</v>
      </c>
      <c r="I186">
        <v>300</v>
      </c>
      <c r="J186">
        <f>IF(Table1[[#This Row],[Tickets Sold]]&gt;500,8,5)</f>
        <v>5</v>
      </c>
      <c r="K186">
        <v>159</v>
      </c>
      <c r="L186" t="str">
        <f>VLOOKUP(H186,Descriptions!A:B, 2, FALSE)</f>
        <v>Ticket + Air travel Package</v>
      </c>
      <c r="M186">
        <f t="shared" ca="1" si="7"/>
        <v>-2243</v>
      </c>
      <c r="N186">
        <f t="shared" si="8"/>
        <v>8586</v>
      </c>
      <c r="O18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17-TA1Lo -Ams26/8</v>
      </c>
    </row>
    <row r="187" spans="1:15" x14ac:dyDescent="0.3">
      <c r="A187" t="s">
        <v>27</v>
      </c>
      <c r="B187" t="s">
        <v>30</v>
      </c>
      <c r="C187" s="1">
        <v>42973</v>
      </c>
      <c r="D187" t="s">
        <v>81</v>
      </c>
      <c r="E187">
        <v>31</v>
      </c>
      <c r="F187">
        <f>IFERROR(VLOOKUP(E187,Margins!$A:$B,2,TRUE),"")</f>
        <v>7.0000000000000007E-2</v>
      </c>
      <c r="G187">
        <f t="shared" si="6"/>
        <v>125.86000000000003</v>
      </c>
      <c r="H187" t="s">
        <v>67</v>
      </c>
      <c r="I187">
        <v>58</v>
      </c>
      <c r="J187">
        <f>IF(Table1[[#This Row],[Tickets Sold]]&gt;500,8,5)</f>
        <v>5</v>
      </c>
      <c r="K187">
        <v>43</v>
      </c>
      <c r="L187" t="str">
        <f>VLOOKUP(H187,Descriptions!A:B, 2, FALSE)</f>
        <v>Seating-disabled</v>
      </c>
      <c r="M187">
        <f t="shared" ca="1" si="7"/>
        <v>-2243</v>
      </c>
      <c r="N187">
        <f t="shared" si="8"/>
        <v>93.310000000000016</v>
      </c>
      <c r="O18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17-SCDLo -Ams26/8</v>
      </c>
    </row>
    <row r="188" spans="1:15" x14ac:dyDescent="0.3">
      <c r="A188" t="s">
        <v>27</v>
      </c>
      <c r="B188" t="s">
        <v>30</v>
      </c>
      <c r="C188" s="1">
        <v>42973</v>
      </c>
      <c r="D188" t="s">
        <v>81</v>
      </c>
      <c r="E188">
        <v>24</v>
      </c>
      <c r="F188">
        <f>IFERROR(VLOOKUP(E188,Margins!$A:$B,2,TRUE),"")</f>
        <v>7.0000000000000007E-2</v>
      </c>
      <c r="G188">
        <f t="shared" si="6"/>
        <v>252.00000000000003</v>
      </c>
      <c r="H188" t="s">
        <v>11</v>
      </c>
      <c r="I188">
        <v>150</v>
      </c>
      <c r="J188">
        <f>IF(Table1[[#This Row],[Tickets Sold]]&gt;500,8,5)</f>
        <v>5</v>
      </c>
      <c r="K188">
        <v>81</v>
      </c>
      <c r="L188" t="str">
        <f>VLOOKUP(H188,Descriptions!A:B, 2, FALSE)</f>
        <v>Parking place</v>
      </c>
      <c r="M188">
        <f t="shared" ca="1" si="7"/>
        <v>-2243</v>
      </c>
      <c r="N188">
        <f t="shared" si="8"/>
        <v>136.08000000000001</v>
      </c>
      <c r="O18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17-POSLo -Ams26/8</v>
      </c>
    </row>
    <row r="189" spans="1:15" x14ac:dyDescent="0.3">
      <c r="A189" t="s">
        <v>27</v>
      </c>
      <c r="B189" t="s">
        <v>30</v>
      </c>
      <c r="C189" s="1">
        <v>42973</v>
      </c>
      <c r="D189" t="s">
        <v>81</v>
      </c>
      <c r="E189">
        <v>330</v>
      </c>
      <c r="F189">
        <f>IFERROR(VLOOKUP(E189,Margins!$A:$B,2,TRUE),"")</f>
        <v>0.25</v>
      </c>
      <c r="G189">
        <f t="shared" si="6"/>
        <v>24750</v>
      </c>
      <c r="H189" t="s">
        <v>66</v>
      </c>
      <c r="I189">
        <v>300</v>
      </c>
      <c r="J189">
        <f>IF(Table1[[#This Row],[Tickets Sold]]&gt;500,8,5)</f>
        <v>5</v>
      </c>
      <c r="K189">
        <v>159</v>
      </c>
      <c r="L189" t="str">
        <f>VLOOKUP(H189,Descriptions!A:B, 2, FALSE)</f>
        <v>Ticket + Air travel + Hotel Package</v>
      </c>
      <c r="M189">
        <f t="shared" ca="1" si="7"/>
        <v>-2243</v>
      </c>
      <c r="N189">
        <f t="shared" si="8"/>
        <v>13117.5</v>
      </c>
      <c r="O18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17-TA2Lo -Ams26/8</v>
      </c>
    </row>
    <row r="190" spans="1:15" x14ac:dyDescent="0.3">
      <c r="A190" t="s">
        <v>12</v>
      </c>
      <c r="B190" t="s">
        <v>52</v>
      </c>
      <c r="C190" s="1">
        <v>42891</v>
      </c>
      <c r="D190" t="s">
        <v>29</v>
      </c>
      <c r="E190" t="s">
        <v>38</v>
      </c>
      <c r="F190" t="str">
        <f>IFERROR(VLOOKUP(E190,Margins!$A:$B,2,TRUE),"")</f>
        <v/>
      </c>
      <c r="G190" t="str">
        <f t="shared" si="6"/>
        <v/>
      </c>
      <c r="H190" t="s">
        <v>68</v>
      </c>
      <c r="I190">
        <v>75000</v>
      </c>
      <c r="J190">
        <f>IF(Table1[[#This Row],[Tickets Sold]]&gt;500,8,5)</f>
        <v>8</v>
      </c>
      <c r="K190">
        <v>48000</v>
      </c>
      <c r="L190" t="str">
        <f>VLOOKUP(H190,Descriptions!A:B, 2, FALSE)</f>
        <v>General Admission (1 day)</v>
      </c>
      <c r="M190">
        <f t="shared" ca="1" si="7"/>
        <v>-2302</v>
      </c>
      <c r="N190" t="e">
        <f t="shared" si="8"/>
        <v>#VALUE!</v>
      </c>
      <c r="O19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17-GA1Lon-Lon5/6</v>
      </c>
    </row>
    <row r="191" spans="1:15" x14ac:dyDescent="0.3">
      <c r="A191" t="s">
        <v>12</v>
      </c>
      <c r="B191" t="s">
        <v>52</v>
      </c>
      <c r="C191" s="1">
        <v>42891</v>
      </c>
      <c r="D191" t="s">
        <v>29</v>
      </c>
      <c r="E191">
        <v>78</v>
      </c>
      <c r="F191">
        <f>IFERROR(VLOOKUP(E191,Margins!$A:$B,2,TRUE),"")</f>
        <v>0.1</v>
      </c>
      <c r="G191">
        <f t="shared" si="6"/>
        <v>19500</v>
      </c>
      <c r="H191" t="s">
        <v>62</v>
      </c>
      <c r="I191">
        <v>2500</v>
      </c>
      <c r="J191">
        <f>IF(Table1[[#This Row],[Tickets Sold]]&gt;500,8,5)</f>
        <v>8</v>
      </c>
      <c r="K191">
        <v>2275</v>
      </c>
      <c r="L191" t="str">
        <f>VLOOKUP(H191,Descriptions!A:B, 2, FALSE)</f>
        <v>Seating Cat. 1</v>
      </c>
      <c r="M191">
        <f t="shared" ca="1" si="7"/>
        <v>-2302</v>
      </c>
      <c r="N191">
        <f t="shared" si="8"/>
        <v>17745</v>
      </c>
      <c r="O19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17-SC1Lon-Lon5/6</v>
      </c>
    </row>
    <row r="192" spans="1:15" x14ac:dyDescent="0.3">
      <c r="A192" t="s">
        <v>12</v>
      </c>
      <c r="B192" t="s">
        <v>52</v>
      </c>
      <c r="C192" s="1">
        <v>42891</v>
      </c>
      <c r="D192" t="s">
        <v>29</v>
      </c>
      <c r="E192" t="s">
        <v>38</v>
      </c>
      <c r="F192" t="str">
        <f>IFERROR(VLOOKUP(E192,Margins!$A:$B,2,TRUE),"")</f>
        <v/>
      </c>
      <c r="G192" t="str">
        <f t="shared" si="6"/>
        <v/>
      </c>
      <c r="H192" t="s">
        <v>70</v>
      </c>
      <c r="I192">
        <v>75000</v>
      </c>
      <c r="J192">
        <f>IF(Table1[[#This Row],[Tickets Sold]]&gt;500,8,5)</f>
        <v>8</v>
      </c>
      <c r="K192">
        <v>47250</v>
      </c>
      <c r="L192" t="str">
        <f>VLOOKUP(H192,Descriptions!A:B, 2, FALSE)</f>
        <v>General Admission (season ticket)</v>
      </c>
      <c r="M192">
        <f t="shared" ca="1" si="7"/>
        <v>-2302</v>
      </c>
      <c r="N192" t="e">
        <f t="shared" si="8"/>
        <v>#VALUE!</v>
      </c>
      <c r="O19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17-GA3Lon-Lon5/6</v>
      </c>
    </row>
    <row r="193" spans="1:15" x14ac:dyDescent="0.3">
      <c r="A193" t="s">
        <v>12</v>
      </c>
      <c r="B193" t="s">
        <v>52</v>
      </c>
      <c r="C193" s="1">
        <v>42891</v>
      </c>
      <c r="D193" t="s">
        <v>29</v>
      </c>
      <c r="E193">
        <v>28</v>
      </c>
      <c r="F193">
        <f>IFERROR(VLOOKUP(E193,Margins!$A:$B,2,TRUE),"")</f>
        <v>7.0000000000000007E-2</v>
      </c>
      <c r="G193">
        <f t="shared" si="6"/>
        <v>225.40000000000003</v>
      </c>
      <c r="H193" t="s">
        <v>67</v>
      </c>
      <c r="I193">
        <v>115</v>
      </c>
      <c r="J193">
        <f>IF(Table1[[#This Row],[Tickets Sold]]&gt;500,8,5)</f>
        <v>5</v>
      </c>
      <c r="K193">
        <v>92</v>
      </c>
      <c r="L193" t="str">
        <f>VLOOKUP(H193,Descriptions!A:B, 2, FALSE)</f>
        <v>Seating-disabled</v>
      </c>
      <c r="M193">
        <f t="shared" ca="1" si="7"/>
        <v>-2302</v>
      </c>
      <c r="N193">
        <f t="shared" si="8"/>
        <v>180.32000000000002</v>
      </c>
      <c r="O19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17-SCDLon-Lon5/6</v>
      </c>
    </row>
    <row r="194" spans="1:15" x14ac:dyDescent="0.3">
      <c r="A194" t="s">
        <v>12</v>
      </c>
      <c r="B194" t="s">
        <v>52</v>
      </c>
      <c r="C194" s="1">
        <v>42892</v>
      </c>
      <c r="D194" t="s">
        <v>29</v>
      </c>
      <c r="E194" t="s">
        <v>38</v>
      </c>
      <c r="F194" t="str">
        <f>IFERROR(VLOOKUP(E194,Margins!$A:$B,2,TRUE),"")</f>
        <v/>
      </c>
      <c r="G194" t="str">
        <f t="shared" ref="G194:G257" si="9">IFERROR(E194*F194*I194,"")</f>
        <v/>
      </c>
      <c r="H194" t="s">
        <v>68</v>
      </c>
      <c r="I194">
        <v>75000</v>
      </c>
      <c r="J194">
        <f>IF(Table1[[#This Row],[Tickets Sold]]&gt;500,8,5)</f>
        <v>8</v>
      </c>
      <c r="K194">
        <v>70500</v>
      </c>
      <c r="L194" t="str">
        <f>VLOOKUP(H194,Descriptions!A:B, 2, FALSE)</f>
        <v>General Admission (1 day)</v>
      </c>
      <c r="M194">
        <f t="shared" ref="M194:M257" ca="1" si="10">NETWORKDAYS(TODAY(), C194-1)</f>
        <v>-2302</v>
      </c>
      <c r="N194" t="e">
        <f t="shared" si="8"/>
        <v>#VALUE!</v>
      </c>
      <c r="O19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17-GA1Lon-Lon6/6</v>
      </c>
    </row>
    <row r="195" spans="1:15" x14ac:dyDescent="0.3">
      <c r="A195" t="s">
        <v>12</v>
      </c>
      <c r="B195" t="s">
        <v>52</v>
      </c>
      <c r="C195" s="1">
        <v>42892</v>
      </c>
      <c r="D195" t="s">
        <v>29</v>
      </c>
      <c r="E195">
        <v>77</v>
      </c>
      <c r="F195">
        <f>IFERROR(VLOOKUP(E195,Margins!$A:$B,2,TRUE),"")</f>
        <v>0.1</v>
      </c>
      <c r="G195">
        <f t="shared" si="9"/>
        <v>19250</v>
      </c>
      <c r="H195" t="s">
        <v>62</v>
      </c>
      <c r="I195">
        <v>2500</v>
      </c>
      <c r="J195">
        <f>IF(Table1[[#This Row],[Tickets Sold]]&gt;500,8,5)</f>
        <v>8</v>
      </c>
      <c r="K195">
        <v>1750</v>
      </c>
      <c r="L195" t="str">
        <f>VLOOKUP(H195,Descriptions!A:B, 2, FALSE)</f>
        <v>Seating Cat. 1</v>
      </c>
      <c r="M195">
        <f t="shared" ca="1" si="10"/>
        <v>-2302</v>
      </c>
      <c r="N195">
        <f t="shared" ref="N195:N258" si="11">E195*F195*K195</f>
        <v>13475</v>
      </c>
      <c r="O19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17-SC1Lon-Lon6/6</v>
      </c>
    </row>
    <row r="196" spans="1:15" x14ac:dyDescent="0.3">
      <c r="A196" t="s">
        <v>12</v>
      </c>
      <c r="B196" t="s">
        <v>52</v>
      </c>
      <c r="C196" s="1">
        <v>42892</v>
      </c>
      <c r="D196" t="s">
        <v>29</v>
      </c>
      <c r="E196">
        <v>22</v>
      </c>
      <c r="F196">
        <f>IFERROR(VLOOKUP(E196,Margins!$A:$B,2,TRUE),"")</f>
        <v>7.0000000000000007E-2</v>
      </c>
      <c r="G196">
        <f t="shared" si="9"/>
        <v>184.8</v>
      </c>
      <c r="H196" t="s">
        <v>67</v>
      </c>
      <c r="I196">
        <v>120</v>
      </c>
      <c r="J196">
        <f>IF(Table1[[#This Row],[Tickets Sold]]&gt;500,8,5)</f>
        <v>5</v>
      </c>
      <c r="K196">
        <v>90</v>
      </c>
      <c r="L196" t="str">
        <f>VLOOKUP(H196,Descriptions!A:B, 2, FALSE)</f>
        <v>Seating-disabled</v>
      </c>
      <c r="M196">
        <f t="shared" ca="1" si="10"/>
        <v>-2302</v>
      </c>
      <c r="N196">
        <f t="shared" si="11"/>
        <v>138.6</v>
      </c>
      <c r="O19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17-SCDLon-Lon6/6</v>
      </c>
    </row>
    <row r="197" spans="1:15" x14ac:dyDescent="0.3">
      <c r="A197" t="s">
        <v>12</v>
      </c>
      <c r="B197" t="s">
        <v>52</v>
      </c>
      <c r="C197" s="1">
        <v>42892</v>
      </c>
      <c r="D197" t="s">
        <v>29</v>
      </c>
      <c r="E197">
        <v>247</v>
      </c>
      <c r="F197">
        <f>IFERROR(VLOOKUP(E197,Margins!$A:$B,2,TRUE),"")</f>
        <v>0.25</v>
      </c>
      <c r="G197">
        <f t="shared" si="9"/>
        <v>12350</v>
      </c>
      <c r="H197" t="s">
        <v>65</v>
      </c>
      <c r="I197">
        <v>200</v>
      </c>
      <c r="J197">
        <f>IF(Table1[[#This Row],[Tickets Sold]]&gt;500,8,5)</f>
        <v>5</v>
      </c>
      <c r="K197">
        <v>158</v>
      </c>
      <c r="L197" t="str">
        <f>VLOOKUP(H197,Descriptions!A:B, 2, FALSE)</f>
        <v>Ticket + Air travel Package</v>
      </c>
      <c r="M197">
        <f t="shared" ca="1" si="10"/>
        <v>-2302</v>
      </c>
      <c r="N197">
        <f t="shared" si="11"/>
        <v>9756.5</v>
      </c>
      <c r="O19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17-TA1Lon-Lon6/6</v>
      </c>
    </row>
    <row r="198" spans="1:15" x14ac:dyDescent="0.3">
      <c r="A198" t="s">
        <v>12</v>
      </c>
      <c r="B198" t="s">
        <v>52</v>
      </c>
      <c r="C198" s="1">
        <v>42892</v>
      </c>
      <c r="D198" t="s">
        <v>29</v>
      </c>
      <c r="E198">
        <v>198</v>
      </c>
      <c r="F198">
        <f>IFERROR(VLOOKUP(E198,Margins!$A:$B,2,TRUE),"")</f>
        <v>0.15</v>
      </c>
      <c r="G198">
        <f t="shared" si="9"/>
        <v>2227500</v>
      </c>
      <c r="H198" t="s">
        <v>70</v>
      </c>
      <c r="I198">
        <v>75000</v>
      </c>
      <c r="J198">
        <f>IF(Table1[[#This Row],[Tickets Sold]]&gt;500,8,5)</f>
        <v>8</v>
      </c>
      <c r="K198">
        <v>45750</v>
      </c>
      <c r="L198" t="str">
        <f>VLOOKUP(H198,Descriptions!A:B, 2, FALSE)</f>
        <v>General Admission (season ticket)</v>
      </c>
      <c r="M198">
        <f t="shared" ca="1" si="10"/>
        <v>-2302</v>
      </c>
      <c r="N198">
        <f t="shared" si="11"/>
        <v>1358775</v>
      </c>
      <c r="O19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17-GA3Lon-Lon6/6</v>
      </c>
    </row>
    <row r="199" spans="1:15" x14ac:dyDescent="0.3">
      <c r="A199" t="s">
        <v>12</v>
      </c>
      <c r="B199" t="s">
        <v>52</v>
      </c>
      <c r="C199" s="1">
        <v>42892</v>
      </c>
      <c r="D199" t="s">
        <v>29</v>
      </c>
      <c r="E199">
        <v>377</v>
      </c>
      <c r="F199">
        <f>IFERROR(VLOOKUP(E199,Margins!$A:$B,2,TRUE),"")</f>
        <v>0.25</v>
      </c>
      <c r="G199">
        <f t="shared" si="9"/>
        <v>28275</v>
      </c>
      <c r="H199" t="s">
        <v>66</v>
      </c>
      <c r="I199">
        <v>300</v>
      </c>
      <c r="J199">
        <f>IF(Table1[[#This Row],[Tickets Sold]]&gt;500,8,5)</f>
        <v>5</v>
      </c>
      <c r="K199">
        <v>255</v>
      </c>
      <c r="L199" t="str">
        <f>VLOOKUP(H199,Descriptions!A:B, 2, FALSE)</f>
        <v>Ticket + Air travel + Hotel Package</v>
      </c>
      <c r="M199">
        <f t="shared" ca="1" si="10"/>
        <v>-2302</v>
      </c>
      <c r="N199">
        <f t="shared" si="11"/>
        <v>24033.75</v>
      </c>
      <c r="O19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17-TA2Lon-Lon6/6</v>
      </c>
    </row>
    <row r="200" spans="1:15" x14ac:dyDescent="0.3">
      <c r="A200" t="s">
        <v>15</v>
      </c>
      <c r="B200" t="s">
        <v>51</v>
      </c>
      <c r="C200" s="1">
        <v>42931</v>
      </c>
      <c r="D200" t="s">
        <v>79</v>
      </c>
      <c r="E200">
        <v>80</v>
      </c>
      <c r="F200">
        <f>IFERROR(VLOOKUP(E200,Margins!$A:$B,2,TRUE),"")</f>
        <v>0.1</v>
      </c>
      <c r="G200">
        <f t="shared" si="9"/>
        <v>85264</v>
      </c>
      <c r="H200" t="s">
        <v>68</v>
      </c>
      <c r="I200">
        <v>10658</v>
      </c>
      <c r="J200">
        <f>IF(Table1[[#This Row],[Tickets Sold]]&gt;500,8,5)</f>
        <v>8</v>
      </c>
      <c r="K200">
        <v>6076</v>
      </c>
      <c r="L200" t="str">
        <f>VLOOKUP(H200,Descriptions!A:B, 2, FALSE)</f>
        <v>General Admission (1 day)</v>
      </c>
      <c r="M200">
        <f t="shared" ca="1" si="10"/>
        <v>-2273</v>
      </c>
      <c r="N200">
        <f t="shared" si="11"/>
        <v>48608</v>
      </c>
      <c r="O20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17-GA1Mar-Bar15/7</v>
      </c>
    </row>
    <row r="201" spans="1:15" x14ac:dyDescent="0.3">
      <c r="A201" t="s">
        <v>15</v>
      </c>
      <c r="B201" t="s">
        <v>48</v>
      </c>
      <c r="C201" s="1">
        <v>42942</v>
      </c>
      <c r="D201" t="s">
        <v>79</v>
      </c>
      <c r="E201">
        <v>60</v>
      </c>
      <c r="F201">
        <f>IFERROR(VLOOKUP(E201,Margins!$A:$B,2,TRUE),"")</f>
        <v>0.1</v>
      </c>
      <c r="G201">
        <f t="shared" si="9"/>
        <v>72294</v>
      </c>
      <c r="H201" t="s">
        <v>68</v>
      </c>
      <c r="I201">
        <v>12049</v>
      </c>
      <c r="J201">
        <f>IF(Table1[[#This Row],[Tickets Sold]]&gt;500,8,5)</f>
        <v>8</v>
      </c>
      <c r="K201">
        <v>6025</v>
      </c>
      <c r="L201" t="str">
        <f>VLOOKUP(H201,Descriptions!A:B, 2, FALSE)</f>
        <v>General Admission (1 day)</v>
      </c>
      <c r="M201">
        <f t="shared" ca="1" si="10"/>
        <v>-2266</v>
      </c>
      <c r="N201">
        <f t="shared" si="11"/>
        <v>36150</v>
      </c>
      <c r="O20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17-GA1Mar-Par26/7</v>
      </c>
    </row>
    <row r="202" spans="1:15" x14ac:dyDescent="0.3">
      <c r="A202" t="s">
        <v>15</v>
      </c>
      <c r="B202" t="s">
        <v>52</v>
      </c>
      <c r="C202" s="1">
        <v>42957</v>
      </c>
      <c r="D202" t="s">
        <v>79</v>
      </c>
      <c r="E202">
        <v>45</v>
      </c>
      <c r="F202">
        <f>IFERROR(VLOOKUP(E202,Margins!$A:$B,2,TRUE),"")</f>
        <v>7.0000000000000007E-2</v>
      </c>
      <c r="G202">
        <f t="shared" si="9"/>
        <v>27915.300000000003</v>
      </c>
      <c r="H202" t="s">
        <v>68</v>
      </c>
      <c r="I202">
        <v>8862</v>
      </c>
      <c r="J202">
        <f>IF(Table1[[#This Row],[Tickets Sold]]&gt;500,8,5)</f>
        <v>8</v>
      </c>
      <c r="K202">
        <v>7445</v>
      </c>
      <c r="L202" t="str">
        <f>VLOOKUP(H202,Descriptions!A:B, 2, FALSE)</f>
        <v>General Admission (1 day)</v>
      </c>
      <c r="M202">
        <f t="shared" ca="1" si="10"/>
        <v>-2255</v>
      </c>
      <c r="N202">
        <f t="shared" si="11"/>
        <v>23451.750000000004</v>
      </c>
      <c r="O20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17-GA1Mar-Lon10/8</v>
      </c>
    </row>
    <row r="203" spans="1:15" x14ac:dyDescent="0.3">
      <c r="A203" t="s">
        <v>15</v>
      </c>
      <c r="B203" t="s">
        <v>53</v>
      </c>
      <c r="C203" s="1">
        <v>42963</v>
      </c>
      <c r="D203" t="s">
        <v>79</v>
      </c>
      <c r="E203">
        <v>30</v>
      </c>
      <c r="F203">
        <f>IFERROR(VLOOKUP(E203,Margins!$A:$B,2,TRUE),"")</f>
        <v>7.0000000000000007E-2</v>
      </c>
      <c r="G203">
        <f t="shared" si="9"/>
        <v>26418</v>
      </c>
      <c r="H203" t="s">
        <v>68</v>
      </c>
      <c r="I203">
        <v>12580</v>
      </c>
      <c r="J203">
        <f>IF(Table1[[#This Row],[Tickets Sold]]&gt;500,8,5)</f>
        <v>8</v>
      </c>
      <c r="K203">
        <v>8177</v>
      </c>
      <c r="L203" t="str">
        <f>VLOOKUP(H203,Descriptions!A:B, 2, FALSE)</f>
        <v>General Admission (1 day)</v>
      </c>
      <c r="M203">
        <f t="shared" ca="1" si="10"/>
        <v>-2251</v>
      </c>
      <c r="N203">
        <f t="shared" si="11"/>
        <v>17171.7</v>
      </c>
      <c r="O20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17-GA1Mar-Ham16/8</v>
      </c>
    </row>
    <row r="204" spans="1:15" x14ac:dyDescent="0.3">
      <c r="A204" t="s">
        <v>15</v>
      </c>
      <c r="B204" t="s">
        <v>56</v>
      </c>
      <c r="C204" s="1">
        <v>42967</v>
      </c>
      <c r="D204" t="s">
        <v>79</v>
      </c>
      <c r="E204">
        <v>60</v>
      </c>
      <c r="F204">
        <f>IFERROR(VLOOKUP(E204,Margins!$A:$B,2,TRUE),"")</f>
        <v>0.1</v>
      </c>
      <c r="G204">
        <f t="shared" si="9"/>
        <v>58494</v>
      </c>
      <c r="H204" t="s">
        <v>68</v>
      </c>
      <c r="I204">
        <v>9749</v>
      </c>
      <c r="J204">
        <f>IF(Table1[[#This Row],[Tickets Sold]]&gt;500,8,5)</f>
        <v>8</v>
      </c>
      <c r="K204">
        <v>7507</v>
      </c>
      <c r="L204" t="str">
        <f>VLOOKUP(H204,Descriptions!A:B, 2, FALSE)</f>
        <v>General Admission (1 day)</v>
      </c>
      <c r="M204">
        <f t="shared" ca="1" si="10"/>
        <v>-2247</v>
      </c>
      <c r="N204">
        <f t="shared" si="11"/>
        <v>45042</v>
      </c>
      <c r="O20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17-GA1Mar-Edi20/8</v>
      </c>
    </row>
    <row r="205" spans="1:15" x14ac:dyDescent="0.3">
      <c r="A205" t="s">
        <v>32</v>
      </c>
      <c r="B205" t="s">
        <v>5</v>
      </c>
      <c r="C205" s="1">
        <v>42889</v>
      </c>
      <c r="D205" t="s">
        <v>79</v>
      </c>
      <c r="E205">
        <v>74</v>
      </c>
      <c r="F205">
        <f>IFERROR(VLOOKUP(E205,Margins!$A:$B,2,TRUE),"")</f>
        <v>0.1</v>
      </c>
      <c r="G205">
        <f t="shared" si="9"/>
        <v>50712.200000000004</v>
      </c>
      <c r="H205" t="s">
        <v>68</v>
      </c>
      <c r="I205">
        <v>6853</v>
      </c>
      <c r="J205">
        <f>IF(Table1[[#This Row],[Tickets Sold]]&gt;500,8,5)</f>
        <v>8</v>
      </c>
      <c r="K205">
        <v>4181</v>
      </c>
      <c r="L205" t="str">
        <f>VLOOKUP(H205,Descriptions!A:B, 2, FALSE)</f>
        <v>General Admission (1 day)</v>
      </c>
      <c r="M205">
        <f t="shared" ca="1" si="10"/>
        <v>-2303</v>
      </c>
      <c r="N205">
        <f t="shared" si="11"/>
        <v>30939.4</v>
      </c>
      <c r="O20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17-GA1Mid-Mad3/6</v>
      </c>
    </row>
    <row r="206" spans="1:15" x14ac:dyDescent="0.3">
      <c r="A206" t="s">
        <v>32</v>
      </c>
      <c r="B206" t="s">
        <v>47</v>
      </c>
      <c r="C206" s="1">
        <v>42892</v>
      </c>
      <c r="D206" t="s">
        <v>79</v>
      </c>
      <c r="E206">
        <v>61</v>
      </c>
      <c r="F206">
        <f>IFERROR(VLOOKUP(E206,Margins!$A:$B,2,TRUE),"")</f>
        <v>0.1</v>
      </c>
      <c r="G206">
        <f t="shared" si="9"/>
        <v>72907.200000000012</v>
      </c>
      <c r="H206" t="s">
        <v>68</v>
      </c>
      <c r="I206">
        <v>11952</v>
      </c>
      <c r="J206">
        <f>IF(Table1[[#This Row],[Tickets Sold]]&gt;500,8,5)</f>
        <v>8</v>
      </c>
      <c r="K206">
        <v>9443</v>
      </c>
      <c r="L206" t="str">
        <f>VLOOKUP(H206,Descriptions!A:B, 2, FALSE)</f>
        <v>General Admission (1 day)</v>
      </c>
      <c r="M206">
        <f t="shared" ca="1" si="10"/>
        <v>-2302</v>
      </c>
      <c r="N206">
        <f t="shared" si="11"/>
        <v>57602.3</v>
      </c>
      <c r="O20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17-GA1Mid-Sto6/6</v>
      </c>
    </row>
    <row r="207" spans="1:15" x14ac:dyDescent="0.3">
      <c r="A207" t="s">
        <v>32</v>
      </c>
      <c r="B207" t="s">
        <v>47</v>
      </c>
      <c r="C207" s="1">
        <v>42892</v>
      </c>
      <c r="D207" t="s">
        <v>79</v>
      </c>
      <c r="E207">
        <v>78</v>
      </c>
      <c r="F207">
        <f>IFERROR(VLOOKUP(E207,Margins!$A:$B,2,TRUE),"")</f>
        <v>0.1</v>
      </c>
      <c r="G207">
        <f t="shared" si="9"/>
        <v>7800.0000000000009</v>
      </c>
      <c r="H207" t="s">
        <v>62</v>
      </c>
      <c r="I207">
        <v>1000</v>
      </c>
      <c r="J207">
        <f>IF(Table1[[#This Row],[Tickets Sold]]&gt;500,8,5)</f>
        <v>8</v>
      </c>
      <c r="K207">
        <v>950</v>
      </c>
      <c r="L207" t="str">
        <f>VLOOKUP(H207,Descriptions!A:B, 2, FALSE)</f>
        <v>Seating Cat. 1</v>
      </c>
      <c r="M207">
        <f t="shared" ca="1" si="10"/>
        <v>-2302</v>
      </c>
      <c r="N207">
        <f t="shared" si="11"/>
        <v>7410.0000000000009</v>
      </c>
      <c r="O20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17-SC1Mid-Sto6/6</v>
      </c>
    </row>
    <row r="208" spans="1:15" x14ac:dyDescent="0.3">
      <c r="A208" t="s">
        <v>32</v>
      </c>
      <c r="B208" t="s">
        <v>47</v>
      </c>
      <c r="C208" s="1">
        <v>42892</v>
      </c>
      <c r="D208" t="s">
        <v>79</v>
      </c>
      <c r="E208">
        <v>266</v>
      </c>
      <c r="F208">
        <f>IFERROR(VLOOKUP(E208,Margins!$A:$B,2,TRUE),"")</f>
        <v>0.25</v>
      </c>
      <c r="G208">
        <f t="shared" si="9"/>
        <v>19950</v>
      </c>
      <c r="H208" t="s">
        <v>65</v>
      </c>
      <c r="I208">
        <v>300</v>
      </c>
      <c r="J208">
        <f>IF(Table1[[#This Row],[Tickets Sold]]&gt;500,8,5)</f>
        <v>5</v>
      </c>
      <c r="K208">
        <v>261</v>
      </c>
      <c r="L208" t="str">
        <f>VLOOKUP(H208,Descriptions!A:B, 2, FALSE)</f>
        <v>Ticket + Air travel Package</v>
      </c>
      <c r="M208">
        <f t="shared" ca="1" si="10"/>
        <v>-2302</v>
      </c>
      <c r="N208">
        <f t="shared" si="11"/>
        <v>17356.5</v>
      </c>
      <c r="O20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17-TA1Mid-Sto6/6</v>
      </c>
    </row>
    <row r="209" spans="1:15" x14ac:dyDescent="0.3">
      <c r="A209" t="s">
        <v>32</v>
      </c>
      <c r="B209" t="s">
        <v>47</v>
      </c>
      <c r="C209" s="1">
        <v>42892</v>
      </c>
      <c r="D209" t="s">
        <v>79</v>
      </c>
      <c r="E209">
        <v>343</v>
      </c>
      <c r="F209">
        <f>IFERROR(VLOOKUP(E209,Margins!$A:$B,2,TRUE),"")</f>
        <v>0.25</v>
      </c>
      <c r="G209">
        <f t="shared" si="9"/>
        <v>17150</v>
      </c>
      <c r="H209" t="s">
        <v>66</v>
      </c>
      <c r="I209">
        <v>200</v>
      </c>
      <c r="J209">
        <f>IF(Table1[[#This Row],[Tickets Sold]]&gt;500,8,5)</f>
        <v>5</v>
      </c>
      <c r="K209">
        <v>160</v>
      </c>
      <c r="L209" t="str">
        <f>VLOOKUP(H209,Descriptions!A:B, 2, FALSE)</f>
        <v>Ticket + Air travel + Hotel Package</v>
      </c>
      <c r="M209">
        <f t="shared" ca="1" si="10"/>
        <v>-2302</v>
      </c>
      <c r="N209">
        <f t="shared" si="11"/>
        <v>13720</v>
      </c>
      <c r="O20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17-TA2Mid-Sto6/6</v>
      </c>
    </row>
    <row r="210" spans="1:15" x14ac:dyDescent="0.3">
      <c r="A210" t="s">
        <v>32</v>
      </c>
      <c r="B210" t="s">
        <v>2</v>
      </c>
      <c r="C210" s="1">
        <v>42894</v>
      </c>
      <c r="D210" t="s">
        <v>79</v>
      </c>
      <c r="E210">
        <v>61</v>
      </c>
      <c r="F210">
        <f>IFERROR(VLOOKUP(E210,Margins!$A:$B,2,TRUE),"")</f>
        <v>0.1</v>
      </c>
      <c r="G210">
        <f t="shared" si="9"/>
        <v>45798.8</v>
      </c>
      <c r="H210" t="s">
        <v>68</v>
      </c>
      <c r="I210">
        <v>7508</v>
      </c>
      <c r="J210">
        <f>IF(Table1[[#This Row],[Tickets Sold]]&gt;500,8,5)</f>
        <v>8</v>
      </c>
      <c r="K210">
        <v>7133</v>
      </c>
      <c r="L210" t="str">
        <f>VLOOKUP(H210,Descriptions!A:B, 2, FALSE)</f>
        <v>General Admission (1 day)</v>
      </c>
      <c r="M210">
        <f t="shared" ca="1" si="10"/>
        <v>-2300</v>
      </c>
      <c r="N210">
        <f t="shared" si="11"/>
        <v>43511.3</v>
      </c>
      <c r="O21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17-GA1Mid-Vie8/6</v>
      </c>
    </row>
    <row r="211" spans="1:15" x14ac:dyDescent="0.3">
      <c r="A211" t="s">
        <v>8</v>
      </c>
      <c r="B211" t="s">
        <v>51</v>
      </c>
      <c r="C211" s="1">
        <v>42900</v>
      </c>
      <c r="D211" t="s">
        <v>3</v>
      </c>
      <c r="E211">
        <v>59</v>
      </c>
      <c r="F211">
        <f>IFERROR(VLOOKUP(E211,Margins!$A:$B,2,TRUE),"")</f>
        <v>0.1</v>
      </c>
      <c r="G211">
        <f t="shared" si="9"/>
        <v>4059.2000000000003</v>
      </c>
      <c r="H211" t="s">
        <v>62</v>
      </c>
      <c r="I211">
        <v>688</v>
      </c>
      <c r="J211">
        <f>IF(Table1[[#This Row],[Tickets Sold]]&gt;500,8,5)</f>
        <v>5</v>
      </c>
      <c r="K211">
        <v>448</v>
      </c>
      <c r="L211" t="str">
        <f>VLOOKUP(H211,Descriptions!A:B, 2, FALSE)</f>
        <v>Seating Cat. 1</v>
      </c>
      <c r="M211">
        <f t="shared" ca="1" si="10"/>
        <v>-2296</v>
      </c>
      <c r="N211">
        <f t="shared" si="11"/>
        <v>2643.2000000000003</v>
      </c>
      <c r="O21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17-SC1Not-Bar14/6</v>
      </c>
    </row>
    <row r="212" spans="1:15" x14ac:dyDescent="0.3">
      <c r="A212" t="s">
        <v>8</v>
      </c>
      <c r="B212" t="s">
        <v>51</v>
      </c>
      <c r="C212" s="1">
        <v>42900</v>
      </c>
      <c r="D212" t="s">
        <v>3</v>
      </c>
      <c r="E212">
        <v>86</v>
      </c>
      <c r="F212">
        <f>IFERROR(VLOOKUP(E212,Margins!$A:$B,2,TRUE),"")</f>
        <v>0.1</v>
      </c>
      <c r="G212">
        <f t="shared" si="9"/>
        <v>4282.8</v>
      </c>
      <c r="H212" t="s">
        <v>63</v>
      </c>
      <c r="I212">
        <v>498</v>
      </c>
      <c r="J212">
        <f>IF(Table1[[#This Row],[Tickets Sold]]&gt;500,8,5)</f>
        <v>5</v>
      </c>
      <c r="K212">
        <v>344</v>
      </c>
      <c r="L212" t="str">
        <f>VLOOKUP(H212,Descriptions!A:B, 2, FALSE)</f>
        <v>Seating Cat. 2</v>
      </c>
      <c r="M212">
        <f t="shared" ca="1" si="10"/>
        <v>-2296</v>
      </c>
      <c r="N212">
        <f t="shared" si="11"/>
        <v>2958.4</v>
      </c>
      <c r="O21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17-SC2Not-Bar14/6</v>
      </c>
    </row>
    <row r="213" spans="1:15" x14ac:dyDescent="0.3">
      <c r="A213" t="s">
        <v>8</v>
      </c>
      <c r="B213" t="s">
        <v>52</v>
      </c>
      <c r="C213" s="1">
        <v>42908</v>
      </c>
      <c r="D213" t="s">
        <v>3</v>
      </c>
      <c r="E213">
        <v>43</v>
      </c>
      <c r="F213">
        <f>IFERROR(VLOOKUP(E213,Margins!$A:$B,2,TRUE),"")</f>
        <v>7.0000000000000007E-2</v>
      </c>
      <c r="G213">
        <f t="shared" si="9"/>
        <v>2233.42</v>
      </c>
      <c r="H213" t="s">
        <v>62</v>
      </c>
      <c r="I213">
        <v>742</v>
      </c>
      <c r="J213">
        <f>IF(Table1[[#This Row],[Tickets Sold]]&gt;500,8,5)</f>
        <v>5</v>
      </c>
      <c r="K213">
        <v>498</v>
      </c>
      <c r="L213" t="str">
        <f>VLOOKUP(H213,Descriptions!A:B, 2, FALSE)</f>
        <v>Seating Cat. 1</v>
      </c>
      <c r="M213">
        <f t="shared" ca="1" si="10"/>
        <v>-2290</v>
      </c>
      <c r="N213">
        <f t="shared" si="11"/>
        <v>1498.98</v>
      </c>
      <c r="O21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17-SC1Not-Lon22/6</v>
      </c>
    </row>
    <row r="214" spans="1:15" x14ac:dyDescent="0.3">
      <c r="A214" t="s">
        <v>8</v>
      </c>
      <c r="B214" t="s">
        <v>52</v>
      </c>
      <c r="C214" s="1">
        <v>42908</v>
      </c>
      <c r="D214" t="s">
        <v>3</v>
      </c>
      <c r="E214">
        <v>81</v>
      </c>
      <c r="F214">
        <f>IFERROR(VLOOKUP(E214,Margins!$A:$B,2,TRUE),"")</f>
        <v>0.1</v>
      </c>
      <c r="G214">
        <f t="shared" si="9"/>
        <v>3215.7</v>
      </c>
      <c r="H214" t="s">
        <v>63</v>
      </c>
      <c r="I214">
        <v>397</v>
      </c>
      <c r="J214">
        <f>IF(Table1[[#This Row],[Tickets Sold]]&gt;500,8,5)</f>
        <v>5</v>
      </c>
      <c r="K214">
        <v>326</v>
      </c>
      <c r="L214" t="str">
        <f>VLOOKUP(H214,Descriptions!A:B, 2, FALSE)</f>
        <v>Seating Cat. 2</v>
      </c>
      <c r="M214">
        <f t="shared" ca="1" si="10"/>
        <v>-2290</v>
      </c>
      <c r="N214">
        <f t="shared" si="11"/>
        <v>2640.6</v>
      </c>
      <c r="O21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17-SC2Not-Lon22/6</v>
      </c>
    </row>
    <row r="215" spans="1:15" x14ac:dyDescent="0.3">
      <c r="A215" t="s">
        <v>8</v>
      </c>
      <c r="B215" t="s">
        <v>48</v>
      </c>
      <c r="C215" s="1">
        <v>42912</v>
      </c>
      <c r="D215" t="s">
        <v>3</v>
      </c>
      <c r="E215">
        <v>48</v>
      </c>
      <c r="F215">
        <f>IFERROR(VLOOKUP(E215,Margins!$A:$B,2,TRUE),"")</f>
        <v>7.0000000000000007E-2</v>
      </c>
      <c r="G215">
        <f t="shared" si="9"/>
        <v>2177.2800000000002</v>
      </c>
      <c r="H215" t="s">
        <v>62</v>
      </c>
      <c r="I215">
        <v>648</v>
      </c>
      <c r="J215">
        <f>IF(Table1[[#This Row],[Tickets Sold]]&gt;500,8,5)</f>
        <v>8</v>
      </c>
      <c r="K215">
        <v>551</v>
      </c>
      <c r="L215" t="str">
        <f>VLOOKUP(H215,Descriptions!A:B, 2, FALSE)</f>
        <v>Seating Cat. 1</v>
      </c>
      <c r="M215">
        <f t="shared" ca="1" si="10"/>
        <v>-2287</v>
      </c>
      <c r="N215">
        <f t="shared" si="11"/>
        <v>1851.3600000000001</v>
      </c>
      <c r="O21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17-SC1Not-Par26/6</v>
      </c>
    </row>
    <row r="216" spans="1:15" x14ac:dyDescent="0.3">
      <c r="A216" t="s">
        <v>8</v>
      </c>
      <c r="B216" t="s">
        <v>48</v>
      </c>
      <c r="C216" s="1">
        <v>42912</v>
      </c>
      <c r="D216" t="s">
        <v>3</v>
      </c>
      <c r="E216">
        <v>85</v>
      </c>
      <c r="F216">
        <f>IFERROR(VLOOKUP(E216,Margins!$A:$B,2,TRUE),"")</f>
        <v>0.1</v>
      </c>
      <c r="G216">
        <f t="shared" si="9"/>
        <v>3502</v>
      </c>
      <c r="H216" t="s">
        <v>63</v>
      </c>
      <c r="I216">
        <v>412</v>
      </c>
      <c r="J216">
        <f>IF(Table1[[#This Row],[Tickets Sold]]&gt;500,8,5)</f>
        <v>5</v>
      </c>
      <c r="K216">
        <v>351</v>
      </c>
      <c r="L216" t="str">
        <f>VLOOKUP(H216,Descriptions!A:B, 2, FALSE)</f>
        <v>Seating Cat. 2</v>
      </c>
      <c r="M216">
        <f t="shared" ca="1" si="10"/>
        <v>-2287</v>
      </c>
      <c r="N216">
        <f t="shared" si="11"/>
        <v>2983.5</v>
      </c>
      <c r="O21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17-SC2Not-Par26/6</v>
      </c>
    </row>
    <row r="217" spans="1:15" x14ac:dyDescent="0.3">
      <c r="A217" t="s">
        <v>8</v>
      </c>
      <c r="B217" t="s">
        <v>48</v>
      </c>
      <c r="C217" s="1">
        <v>42916</v>
      </c>
      <c r="D217" t="s">
        <v>3</v>
      </c>
      <c r="E217">
        <v>74</v>
      </c>
      <c r="F217">
        <f>IFERROR(VLOOKUP(E217,Margins!$A:$B,2,TRUE),"")</f>
        <v>0.1</v>
      </c>
      <c r="G217">
        <f t="shared" si="9"/>
        <v>4795.2</v>
      </c>
      <c r="H217" t="s">
        <v>62</v>
      </c>
      <c r="I217">
        <v>648</v>
      </c>
      <c r="J217">
        <f>IF(Table1[[#This Row],[Tickets Sold]]&gt;500,8,5)</f>
        <v>8</v>
      </c>
      <c r="K217">
        <v>564</v>
      </c>
      <c r="L217" t="str">
        <f>VLOOKUP(H217,Descriptions!A:B, 2, FALSE)</f>
        <v>Seating Cat. 1</v>
      </c>
      <c r="M217">
        <f t="shared" ca="1" si="10"/>
        <v>-2284</v>
      </c>
      <c r="N217">
        <f t="shared" si="11"/>
        <v>4173.6000000000004</v>
      </c>
      <c r="O21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17-SC1Not-Par30/6</v>
      </c>
    </row>
    <row r="218" spans="1:15" x14ac:dyDescent="0.3">
      <c r="A218" t="s">
        <v>8</v>
      </c>
      <c r="B218" t="s">
        <v>48</v>
      </c>
      <c r="C218" s="1">
        <v>42916</v>
      </c>
      <c r="D218" t="s">
        <v>3</v>
      </c>
      <c r="E218">
        <v>71</v>
      </c>
      <c r="F218">
        <f>IFERROR(VLOOKUP(E218,Margins!$A:$B,2,TRUE),"")</f>
        <v>0.1</v>
      </c>
      <c r="G218">
        <f t="shared" si="9"/>
        <v>2925.2000000000003</v>
      </c>
      <c r="H218" t="s">
        <v>63</v>
      </c>
      <c r="I218">
        <v>412</v>
      </c>
      <c r="J218">
        <f>IF(Table1[[#This Row],[Tickets Sold]]&gt;500,8,5)</f>
        <v>5</v>
      </c>
      <c r="K218">
        <v>338</v>
      </c>
      <c r="L218" t="str">
        <f>VLOOKUP(H218,Descriptions!A:B, 2, FALSE)</f>
        <v>Seating Cat. 2</v>
      </c>
      <c r="M218">
        <f t="shared" ca="1" si="10"/>
        <v>-2284</v>
      </c>
      <c r="N218">
        <f t="shared" si="11"/>
        <v>2399.8000000000002</v>
      </c>
      <c r="O21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17-SC2Not-Par30/6</v>
      </c>
    </row>
    <row r="219" spans="1:15" x14ac:dyDescent="0.3">
      <c r="A219" t="s">
        <v>8</v>
      </c>
      <c r="B219" t="s">
        <v>52</v>
      </c>
      <c r="C219" s="1">
        <v>42919</v>
      </c>
      <c r="D219" t="s">
        <v>3</v>
      </c>
      <c r="E219">
        <v>67</v>
      </c>
      <c r="F219">
        <f>IFERROR(VLOOKUP(E219,Margins!$A:$B,2,TRUE),"")</f>
        <v>0.1</v>
      </c>
      <c r="G219">
        <f t="shared" si="9"/>
        <v>4971.4000000000005</v>
      </c>
      <c r="H219" t="s">
        <v>62</v>
      </c>
      <c r="I219">
        <v>742</v>
      </c>
      <c r="J219">
        <f>IF(Table1[[#This Row],[Tickets Sold]]&gt;500,8,5)</f>
        <v>8</v>
      </c>
      <c r="K219">
        <v>683</v>
      </c>
      <c r="L219" t="str">
        <f>VLOOKUP(H219,Descriptions!A:B, 2, FALSE)</f>
        <v>Seating Cat. 1</v>
      </c>
      <c r="M219">
        <f t="shared" ca="1" si="10"/>
        <v>-2282</v>
      </c>
      <c r="N219">
        <f t="shared" si="11"/>
        <v>4576.1000000000004</v>
      </c>
      <c r="O21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17-SC1Not-Lon3/7</v>
      </c>
    </row>
    <row r="220" spans="1:15" x14ac:dyDescent="0.3">
      <c r="A220" t="s">
        <v>8</v>
      </c>
      <c r="B220" t="s">
        <v>52</v>
      </c>
      <c r="C220" s="1">
        <v>42919</v>
      </c>
      <c r="D220" t="s">
        <v>3</v>
      </c>
      <c r="E220">
        <v>100</v>
      </c>
      <c r="F220">
        <f>IFERROR(VLOOKUP(E220,Margins!$A:$B,2,TRUE),"")</f>
        <v>0.15</v>
      </c>
      <c r="G220">
        <f t="shared" si="9"/>
        <v>5955</v>
      </c>
      <c r="H220" t="s">
        <v>63</v>
      </c>
      <c r="I220">
        <v>397</v>
      </c>
      <c r="J220">
        <f>IF(Table1[[#This Row],[Tickets Sold]]&gt;500,8,5)</f>
        <v>5</v>
      </c>
      <c r="K220">
        <v>270</v>
      </c>
      <c r="L220" t="str">
        <f>VLOOKUP(H220,Descriptions!A:B, 2, FALSE)</f>
        <v>Seating Cat. 2</v>
      </c>
      <c r="M220">
        <f t="shared" ca="1" si="10"/>
        <v>-2282</v>
      </c>
      <c r="N220">
        <f t="shared" si="11"/>
        <v>4050</v>
      </c>
      <c r="O22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17-SC2Not-Lon3/7</v>
      </c>
    </row>
    <row r="221" spans="1:15" x14ac:dyDescent="0.3">
      <c r="A221" t="s">
        <v>8</v>
      </c>
      <c r="B221" t="s">
        <v>48</v>
      </c>
      <c r="C221" s="1">
        <v>42941</v>
      </c>
      <c r="D221" t="s">
        <v>3</v>
      </c>
      <c r="E221">
        <v>58</v>
      </c>
      <c r="F221">
        <f>IFERROR(VLOOKUP(E221,Margins!$A:$B,2,TRUE),"")</f>
        <v>0.1</v>
      </c>
      <c r="G221">
        <f t="shared" si="9"/>
        <v>3758.4000000000005</v>
      </c>
      <c r="H221" t="s">
        <v>62</v>
      </c>
      <c r="I221">
        <v>648</v>
      </c>
      <c r="J221">
        <f>IF(Table1[[#This Row],[Tickets Sold]]&gt;500,8,5)</f>
        <v>5</v>
      </c>
      <c r="K221">
        <v>337</v>
      </c>
      <c r="L221" t="str">
        <f>VLOOKUP(H221,Descriptions!A:B, 2, FALSE)</f>
        <v>Seating Cat. 1</v>
      </c>
      <c r="M221">
        <f t="shared" ca="1" si="10"/>
        <v>-2267</v>
      </c>
      <c r="N221">
        <f t="shared" si="11"/>
        <v>1954.6000000000001</v>
      </c>
      <c r="O22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17-SC1Not-Par25/7</v>
      </c>
    </row>
    <row r="222" spans="1:15" x14ac:dyDescent="0.3">
      <c r="A222" t="s">
        <v>8</v>
      </c>
      <c r="B222" t="s">
        <v>48</v>
      </c>
      <c r="C222" s="1">
        <v>42941</v>
      </c>
      <c r="D222" t="s">
        <v>3</v>
      </c>
      <c r="E222">
        <v>87</v>
      </c>
      <c r="F222">
        <f>IFERROR(VLOOKUP(E222,Margins!$A:$B,2,TRUE),"")</f>
        <v>0.1</v>
      </c>
      <c r="G222">
        <f t="shared" si="9"/>
        <v>3584.4000000000005</v>
      </c>
      <c r="H222" t="s">
        <v>63</v>
      </c>
      <c r="I222">
        <v>412</v>
      </c>
      <c r="J222">
        <f>IF(Table1[[#This Row],[Tickets Sold]]&gt;500,8,5)</f>
        <v>5</v>
      </c>
      <c r="K222">
        <v>367</v>
      </c>
      <c r="L222" t="str">
        <f>VLOOKUP(H222,Descriptions!A:B, 2, FALSE)</f>
        <v>Seating Cat. 2</v>
      </c>
      <c r="M222">
        <f t="shared" ca="1" si="10"/>
        <v>-2267</v>
      </c>
      <c r="N222">
        <f t="shared" si="11"/>
        <v>3192.9000000000005</v>
      </c>
      <c r="O22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17-SC2Not-Par25/7</v>
      </c>
    </row>
    <row r="223" spans="1:15" x14ac:dyDescent="0.3">
      <c r="A223" t="s">
        <v>8</v>
      </c>
      <c r="B223" t="s">
        <v>51</v>
      </c>
      <c r="C223" s="1">
        <v>42944</v>
      </c>
      <c r="D223" t="s">
        <v>3</v>
      </c>
      <c r="E223">
        <v>47</v>
      </c>
      <c r="F223">
        <f>IFERROR(VLOOKUP(E223,Margins!$A:$B,2,TRUE),"")</f>
        <v>7.0000000000000007E-2</v>
      </c>
      <c r="G223">
        <f t="shared" si="9"/>
        <v>2263.5200000000004</v>
      </c>
      <c r="H223" t="s">
        <v>62</v>
      </c>
      <c r="I223">
        <v>688</v>
      </c>
      <c r="J223">
        <f>IF(Table1[[#This Row],[Tickets Sold]]&gt;500,8,5)</f>
        <v>8</v>
      </c>
      <c r="K223">
        <v>523</v>
      </c>
      <c r="L223" t="str">
        <f>VLOOKUP(H223,Descriptions!A:B, 2, FALSE)</f>
        <v>Seating Cat. 1</v>
      </c>
      <c r="M223">
        <f t="shared" ca="1" si="10"/>
        <v>-2264</v>
      </c>
      <c r="N223">
        <f t="shared" si="11"/>
        <v>1720.6700000000003</v>
      </c>
      <c r="O22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17-SC1Not-Bar28/7</v>
      </c>
    </row>
    <row r="224" spans="1:15" x14ac:dyDescent="0.3">
      <c r="A224" t="s">
        <v>8</v>
      </c>
      <c r="B224" t="s">
        <v>51</v>
      </c>
      <c r="C224" s="1">
        <v>42944</v>
      </c>
      <c r="D224" t="s">
        <v>3</v>
      </c>
      <c r="E224">
        <v>85</v>
      </c>
      <c r="F224">
        <f>IFERROR(VLOOKUP(E224,Margins!$A:$B,2,TRUE),"")</f>
        <v>0.1</v>
      </c>
      <c r="G224">
        <f t="shared" si="9"/>
        <v>4233</v>
      </c>
      <c r="H224" t="s">
        <v>63</v>
      </c>
      <c r="I224">
        <v>498</v>
      </c>
      <c r="J224">
        <f>IF(Table1[[#This Row],[Tickets Sold]]&gt;500,8,5)</f>
        <v>5</v>
      </c>
      <c r="K224">
        <v>414</v>
      </c>
      <c r="L224" t="str">
        <f>VLOOKUP(H224,Descriptions!A:B, 2, FALSE)</f>
        <v>Seating Cat. 2</v>
      </c>
      <c r="M224">
        <f t="shared" ca="1" si="10"/>
        <v>-2264</v>
      </c>
      <c r="N224">
        <f t="shared" si="11"/>
        <v>3519</v>
      </c>
      <c r="O22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17-SC2Not-Bar28/7</v>
      </c>
    </row>
    <row r="225" spans="1:15" x14ac:dyDescent="0.3">
      <c r="A225" t="s">
        <v>8</v>
      </c>
      <c r="B225" t="s">
        <v>51</v>
      </c>
      <c r="C225" s="1">
        <v>42950</v>
      </c>
      <c r="D225" t="s">
        <v>3</v>
      </c>
      <c r="E225">
        <v>55</v>
      </c>
      <c r="F225">
        <f>IFERROR(VLOOKUP(E225,Margins!$A:$B,2,TRUE),"")</f>
        <v>0.1</v>
      </c>
      <c r="G225">
        <f t="shared" si="9"/>
        <v>3784</v>
      </c>
      <c r="H225" t="s">
        <v>62</v>
      </c>
      <c r="I225">
        <v>688</v>
      </c>
      <c r="J225">
        <f>IF(Table1[[#This Row],[Tickets Sold]]&gt;500,8,5)</f>
        <v>8</v>
      </c>
      <c r="K225">
        <v>523</v>
      </c>
      <c r="L225" t="str">
        <f>VLOOKUP(H225,Descriptions!A:B, 2, FALSE)</f>
        <v>Seating Cat. 1</v>
      </c>
      <c r="M225">
        <f t="shared" ca="1" si="10"/>
        <v>-2260</v>
      </c>
      <c r="N225">
        <f t="shared" si="11"/>
        <v>2876.5</v>
      </c>
      <c r="O22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17-SC1Not-Bar3/8</v>
      </c>
    </row>
    <row r="226" spans="1:15" x14ac:dyDescent="0.3">
      <c r="A226" t="s">
        <v>8</v>
      </c>
      <c r="B226" t="s">
        <v>51</v>
      </c>
      <c r="C226" s="1">
        <v>42950</v>
      </c>
      <c r="D226" t="s">
        <v>3</v>
      </c>
      <c r="E226">
        <v>96</v>
      </c>
      <c r="F226">
        <f>IFERROR(VLOOKUP(E226,Margins!$A:$B,2,TRUE),"")</f>
        <v>0.1</v>
      </c>
      <c r="G226">
        <f t="shared" si="9"/>
        <v>4780.8000000000011</v>
      </c>
      <c r="H226" t="s">
        <v>63</v>
      </c>
      <c r="I226">
        <v>498</v>
      </c>
      <c r="J226">
        <f>IF(Table1[[#This Row],[Tickets Sold]]&gt;500,8,5)</f>
        <v>5</v>
      </c>
      <c r="K226">
        <v>469</v>
      </c>
      <c r="L226" t="str">
        <f>VLOOKUP(H226,Descriptions!A:B, 2, FALSE)</f>
        <v>Seating Cat. 2</v>
      </c>
      <c r="M226">
        <f t="shared" ca="1" si="10"/>
        <v>-2260</v>
      </c>
      <c r="N226">
        <f t="shared" si="11"/>
        <v>4502.4000000000005</v>
      </c>
      <c r="O22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17-SC2Not-Bar3/8</v>
      </c>
    </row>
    <row r="227" spans="1:15" x14ac:dyDescent="0.3">
      <c r="A227" t="s">
        <v>26</v>
      </c>
      <c r="B227" t="s">
        <v>47</v>
      </c>
      <c r="C227" s="1">
        <v>42891</v>
      </c>
      <c r="D227" t="s">
        <v>80</v>
      </c>
      <c r="E227">
        <v>31</v>
      </c>
      <c r="F227">
        <f>IFERROR(VLOOKUP(E227,Margins!$A:$B,2,TRUE),"")</f>
        <v>7.0000000000000007E-2</v>
      </c>
      <c r="G227">
        <f t="shared" si="9"/>
        <v>1692.6000000000004</v>
      </c>
      <c r="H227" t="s">
        <v>62</v>
      </c>
      <c r="I227">
        <v>780</v>
      </c>
      <c r="J227">
        <f>IF(Table1[[#This Row],[Tickets Sold]]&gt;500,8,5)</f>
        <v>8</v>
      </c>
      <c r="K227">
        <v>546</v>
      </c>
      <c r="L227" t="str">
        <f>VLOOKUP(H227,Descriptions!A:B, 2, FALSE)</f>
        <v>Seating Cat. 1</v>
      </c>
      <c r="M227">
        <f t="shared" ca="1" si="10"/>
        <v>-2302</v>
      </c>
      <c r="N227">
        <f t="shared" si="11"/>
        <v>1184.8200000000002</v>
      </c>
      <c r="O22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17-SC1Orc-Sto5/6</v>
      </c>
    </row>
    <row r="228" spans="1:15" x14ac:dyDescent="0.3">
      <c r="A228" t="s">
        <v>26</v>
      </c>
      <c r="B228" t="s">
        <v>48</v>
      </c>
      <c r="C228" s="1">
        <v>42913</v>
      </c>
      <c r="D228" t="s">
        <v>80</v>
      </c>
      <c r="E228">
        <v>50</v>
      </c>
      <c r="F228">
        <f>IFERROR(VLOOKUP(E228,Margins!$A:$B,2,TRUE),"")</f>
        <v>0.1</v>
      </c>
      <c r="G228">
        <f t="shared" si="9"/>
        <v>9800</v>
      </c>
      <c r="H228" t="s">
        <v>62</v>
      </c>
      <c r="I228">
        <v>1960</v>
      </c>
      <c r="J228">
        <f>IF(Table1[[#This Row],[Tickets Sold]]&gt;500,8,5)</f>
        <v>8</v>
      </c>
      <c r="K228">
        <v>1862</v>
      </c>
      <c r="L228" t="str">
        <f>VLOOKUP(H228,Descriptions!A:B, 2, FALSE)</f>
        <v>Seating Cat. 1</v>
      </c>
      <c r="M228">
        <f t="shared" ca="1" si="10"/>
        <v>-2287</v>
      </c>
      <c r="N228">
        <f t="shared" si="11"/>
        <v>9310</v>
      </c>
      <c r="O22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17-SC1Orc-Par27/6</v>
      </c>
    </row>
    <row r="229" spans="1:15" x14ac:dyDescent="0.3">
      <c r="A229" t="s">
        <v>26</v>
      </c>
      <c r="B229" t="s">
        <v>48</v>
      </c>
      <c r="C229" s="1">
        <v>42913</v>
      </c>
      <c r="D229" t="s">
        <v>80</v>
      </c>
      <c r="E229">
        <v>101</v>
      </c>
      <c r="F229">
        <f>IFERROR(VLOOKUP(E229,Margins!$A:$B,2,TRUE),"")</f>
        <v>0.15</v>
      </c>
      <c r="G229">
        <f t="shared" si="9"/>
        <v>7514.4</v>
      </c>
      <c r="H229" t="s">
        <v>63</v>
      </c>
      <c r="I229">
        <v>496</v>
      </c>
      <c r="J229">
        <f>IF(Table1[[#This Row],[Tickets Sold]]&gt;500,8,5)</f>
        <v>5</v>
      </c>
      <c r="K229">
        <v>248</v>
      </c>
      <c r="L229" t="str">
        <f>VLOOKUP(H229,Descriptions!A:B, 2, FALSE)</f>
        <v>Seating Cat. 2</v>
      </c>
      <c r="M229">
        <f t="shared" ca="1" si="10"/>
        <v>-2287</v>
      </c>
      <c r="N229">
        <f t="shared" si="11"/>
        <v>3757.2</v>
      </c>
      <c r="O22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17-SC2Orc-Par27/6</v>
      </c>
    </row>
    <row r="230" spans="1:15" x14ac:dyDescent="0.3">
      <c r="A230" t="s">
        <v>26</v>
      </c>
      <c r="B230" t="s">
        <v>48</v>
      </c>
      <c r="C230" s="1">
        <v>42913</v>
      </c>
      <c r="D230" t="s">
        <v>80</v>
      </c>
      <c r="E230">
        <v>173</v>
      </c>
      <c r="F230">
        <f>IFERROR(VLOOKUP(E230,Margins!$A:$B,2,TRUE),"")</f>
        <v>0.15</v>
      </c>
      <c r="G230">
        <f t="shared" si="9"/>
        <v>6435.5999999999995</v>
      </c>
      <c r="H230" t="s">
        <v>64</v>
      </c>
      <c r="I230">
        <v>248</v>
      </c>
      <c r="J230">
        <f>IF(Table1[[#This Row],[Tickets Sold]]&gt;500,8,5)</f>
        <v>5</v>
      </c>
      <c r="K230">
        <v>144</v>
      </c>
      <c r="L230" t="str">
        <f>VLOOKUP(H230,Descriptions!A:B, 2, FALSE)</f>
        <v>Seating Cat. 3</v>
      </c>
      <c r="M230">
        <f t="shared" ca="1" si="10"/>
        <v>-2287</v>
      </c>
      <c r="N230">
        <f t="shared" si="11"/>
        <v>3736.7999999999997</v>
      </c>
      <c r="O23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17-SC3Orc-Par27/6</v>
      </c>
    </row>
    <row r="231" spans="1:15" x14ac:dyDescent="0.3">
      <c r="A231" t="s">
        <v>26</v>
      </c>
      <c r="B231" t="s">
        <v>48</v>
      </c>
      <c r="C231" s="1">
        <v>42913</v>
      </c>
      <c r="D231" t="s">
        <v>80</v>
      </c>
      <c r="E231">
        <v>30</v>
      </c>
      <c r="F231">
        <f>IFERROR(VLOOKUP(E231,Margins!$A:$B,2,TRUE),"")</f>
        <v>7.0000000000000007E-2</v>
      </c>
      <c r="G231">
        <f t="shared" si="9"/>
        <v>191.1</v>
      </c>
      <c r="H231" t="s">
        <v>67</v>
      </c>
      <c r="I231">
        <v>91</v>
      </c>
      <c r="J231">
        <f>IF(Table1[[#This Row],[Tickets Sold]]&gt;500,8,5)</f>
        <v>5</v>
      </c>
      <c r="K231">
        <v>49</v>
      </c>
      <c r="L231" t="str">
        <f>VLOOKUP(H231,Descriptions!A:B, 2, FALSE)</f>
        <v>Seating-disabled</v>
      </c>
      <c r="M231">
        <f t="shared" ca="1" si="10"/>
        <v>-2287</v>
      </c>
      <c r="N231">
        <f t="shared" si="11"/>
        <v>102.9</v>
      </c>
      <c r="O23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17-SCDOrc-Par27/6</v>
      </c>
    </row>
    <row r="232" spans="1:15" x14ac:dyDescent="0.3">
      <c r="A232" t="s">
        <v>26</v>
      </c>
      <c r="B232" t="s">
        <v>48</v>
      </c>
      <c r="C232" s="1">
        <v>42913</v>
      </c>
      <c r="D232" t="s">
        <v>80</v>
      </c>
      <c r="E232">
        <v>39</v>
      </c>
      <c r="F232">
        <f>IFERROR(VLOOKUP(E232,Margins!$A:$B,2,TRUE),"")</f>
        <v>7.0000000000000007E-2</v>
      </c>
      <c r="G232">
        <f t="shared" si="9"/>
        <v>273.00000000000006</v>
      </c>
      <c r="H232" t="s">
        <v>11</v>
      </c>
      <c r="I232">
        <v>100</v>
      </c>
      <c r="J232">
        <f>IF(Table1[[#This Row],[Tickets Sold]]&gt;500,8,5)</f>
        <v>5</v>
      </c>
      <c r="K232">
        <v>94</v>
      </c>
      <c r="L232" t="str">
        <f>VLOOKUP(H232,Descriptions!A:B, 2, FALSE)</f>
        <v>Parking place</v>
      </c>
      <c r="M232">
        <f t="shared" ca="1" si="10"/>
        <v>-2287</v>
      </c>
      <c r="N232">
        <f t="shared" si="11"/>
        <v>256.62000000000006</v>
      </c>
      <c r="O23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17-POSOrc-Par27/6</v>
      </c>
    </row>
    <row r="233" spans="1:15" x14ac:dyDescent="0.3">
      <c r="A233" t="s">
        <v>26</v>
      </c>
      <c r="B233" t="s">
        <v>5</v>
      </c>
      <c r="C233" s="1">
        <v>42942</v>
      </c>
      <c r="D233" t="s">
        <v>80</v>
      </c>
      <c r="E233">
        <v>42</v>
      </c>
      <c r="F233">
        <f>IFERROR(VLOOKUP(E233,Margins!$A:$B,2,TRUE),"")</f>
        <v>7.0000000000000007E-2</v>
      </c>
      <c r="G233">
        <f t="shared" si="9"/>
        <v>4586.4000000000005</v>
      </c>
      <c r="H233" t="s">
        <v>62</v>
      </c>
      <c r="I233">
        <v>1560</v>
      </c>
      <c r="J233">
        <f>IF(Table1[[#This Row],[Tickets Sold]]&gt;500,8,5)</f>
        <v>8</v>
      </c>
      <c r="K233">
        <v>890</v>
      </c>
      <c r="L233" t="str">
        <f>VLOOKUP(H233,Descriptions!A:B, 2, FALSE)</f>
        <v>Seating Cat. 1</v>
      </c>
      <c r="M233">
        <f t="shared" ca="1" si="10"/>
        <v>-2266</v>
      </c>
      <c r="N233">
        <f t="shared" si="11"/>
        <v>2616.6000000000004</v>
      </c>
      <c r="O23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17-SC1Orc-Mad26/7</v>
      </c>
    </row>
    <row r="234" spans="1:15" x14ac:dyDescent="0.3">
      <c r="A234" t="s">
        <v>26</v>
      </c>
      <c r="B234" t="s">
        <v>5</v>
      </c>
      <c r="C234" s="1">
        <v>42942</v>
      </c>
      <c r="D234" t="s">
        <v>80</v>
      </c>
      <c r="E234">
        <v>74</v>
      </c>
      <c r="F234">
        <f>IFERROR(VLOOKUP(E234,Margins!$A:$B,2,TRUE),"")</f>
        <v>0.1</v>
      </c>
      <c r="G234">
        <f t="shared" si="9"/>
        <v>4010.8</v>
      </c>
      <c r="H234" t="s">
        <v>63</v>
      </c>
      <c r="I234">
        <v>542</v>
      </c>
      <c r="J234">
        <f>IF(Table1[[#This Row],[Tickets Sold]]&gt;500,8,5)</f>
        <v>5</v>
      </c>
      <c r="K234">
        <v>499</v>
      </c>
      <c r="L234" t="str">
        <f>VLOOKUP(H234,Descriptions!A:B, 2, FALSE)</f>
        <v>Seating Cat. 2</v>
      </c>
      <c r="M234">
        <f t="shared" ca="1" si="10"/>
        <v>-2266</v>
      </c>
      <c r="N234">
        <f t="shared" si="11"/>
        <v>3692.6000000000004</v>
      </c>
      <c r="O23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17-SC2Orc-Mad26/7</v>
      </c>
    </row>
    <row r="235" spans="1:15" x14ac:dyDescent="0.3">
      <c r="A235" t="s">
        <v>26</v>
      </c>
      <c r="B235" t="s">
        <v>5</v>
      </c>
      <c r="C235" s="1">
        <v>42942</v>
      </c>
      <c r="D235" t="s">
        <v>80</v>
      </c>
      <c r="E235">
        <v>35</v>
      </c>
      <c r="F235">
        <f>IFERROR(VLOOKUP(E235,Margins!$A:$B,2,TRUE),"")</f>
        <v>7.0000000000000007E-2</v>
      </c>
      <c r="G235">
        <f t="shared" si="9"/>
        <v>264.60000000000002</v>
      </c>
      <c r="H235" t="s">
        <v>67</v>
      </c>
      <c r="I235">
        <v>108</v>
      </c>
      <c r="J235">
        <f>IF(Table1[[#This Row],[Tickets Sold]]&gt;500,8,5)</f>
        <v>5</v>
      </c>
      <c r="K235">
        <v>69</v>
      </c>
      <c r="L235" t="str">
        <f>VLOOKUP(H235,Descriptions!A:B, 2, FALSE)</f>
        <v>Seating-disabled</v>
      </c>
      <c r="M235">
        <f t="shared" ca="1" si="10"/>
        <v>-2266</v>
      </c>
      <c r="N235">
        <f t="shared" si="11"/>
        <v>169.05</v>
      </c>
      <c r="O23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17-SCDOrc-Mad26/7</v>
      </c>
    </row>
    <row r="236" spans="1:15" x14ac:dyDescent="0.3">
      <c r="A236" t="s">
        <v>26</v>
      </c>
      <c r="B236" t="s">
        <v>5</v>
      </c>
      <c r="C236" s="1">
        <v>42942</v>
      </c>
      <c r="D236" t="s">
        <v>80</v>
      </c>
      <c r="E236">
        <v>29</v>
      </c>
      <c r="F236">
        <f>IFERROR(VLOOKUP(E236,Margins!$A:$B,2,TRUE),"")</f>
        <v>7.0000000000000007E-2</v>
      </c>
      <c r="G236">
        <f t="shared" si="9"/>
        <v>304.50000000000006</v>
      </c>
      <c r="H236" t="s">
        <v>11</v>
      </c>
      <c r="I236">
        <v>150</v>
      </c>
      <c r="J236">
        <f>IF(Table1[[#This Row],[Tickets Sold]]&gt;500,8,5)</f>
        <v>5</v>
      </c>
      <c r="K236">
        <v>107</v>
      </c>
      <c r="L236" t="str">
        <f>VLOOKUP(H236,Descriptions!A:B, 2, FALSE)</f>
        <v>Parking place</v>
      </c>
      <c r="M236">
        <f t="shared" ca="1" si="10"/>
        <v>-2266</v>
      </c>
      <c r="N236">
        <f t="shared" si="11"/>
        <v>217.21000000000004</v>
      </c>
      <c r="O23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17-POSOrc-Mad26/7</v>
      </c>
    </row>
    <row r="237" spans="1:15" x14ac:dyDescent="0.3">
      <c r="A237" t="s">
        <v>17</v>
      </c>
      <c r="B237" t="s">
        <v>55</v>
      </c>
      <c r="C237" s="1">
        <v>42907</v>
      </c>
      <c r="D237" t="s">
        <v>3</v>
      </c>
      <c r="E237">
        <v>31</v>
      </c>
      <c r="F237">
        <f>IFERROR(VLOOKUP(E237,Margins!$A:$B,2,TRUE),"")</f>
        <v>7.0000000000000007E-2</v>
      </c>
      <c r="G237">
        <f t="shared" si="9"/>
        <v>27891.010000000006</v>
      </c>
      <c r="H237" t="s">
        <v>68</v>
      </c>
      <c r="I237">
        <v>12853</v>
      </c>
      <c r="J237">
        <f>IF(Table1[[#This Row],[Tickets Sold]]&gt;500,8,5)</f>
        <v>8</v>
      </c>
      <c r="K237">
        <v>11825</v>
      </c>
      <c r="L237" t="str">
        <f>VLOOKUP(H237,Descriptions!A:B, 2, FALSE)</f>
        <v>General Admission (1 day)</v>
      </c>
      <c r="M237">
        <f t="shared" ca="1" si="10"/>
        <v>-2291</v>
      </c>
      <c r="N237">
        <f t="shared" si="11"/>
        <v>25660.250000000004</v>
      </c>
      <c r="O23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17-GA1Pau-Zur21/6</v>
      </c>
    </row>
    <row r="238" spans="1:15" x14ac:dyDescent="0.3">
      <c r="A238" t="s">
        <v>17</v>
      </c>
      <c r="B238" t="s">
        <v>49</v>
      </c>
      <c r="C238" s="1">
        <v>42910</v>
      </c>
      <c r="D238" t="s">
        <v>3</v>
      </c>
      <c r="E238">
        <v>68</v>
      </c>
      <c r="F238">
        <f>IFERROR(VLOOKUP(E238,Margins!$A:$B,2,TRUE),"")</f>
        <v>0.1</v>
      </c>
      <c r="G238">
        <f t="shared" si="9"/>
        <v>78186.400000000009</v>
      </c>
      <c r="H238" t="s">
        <v>68</v>
      </c>
      <c r="I238">
        <v>11498</v>
      </c>
      <c r="J238">
        <f>IF(Table1[[#This Row],[Tickets Sold]]&gt;500,8,5)</f>
        <v>8</v>
      </c>
      <c r="K238">
        <v>5864</v>
      </c>
      <c r="L238" t="str">
        <f>VLOOKUP(H238,Descriptions!A:B, 2, FALSE)</f>
        <v>General Admission (1 day)</v>
      </c>
      <c r="M238">
        <f t="shared" ca="1" si="10"/>
        <v>-2288</v>
      </c>
      <c r="N238">
        <f t="shared" si="11"/>
        <v>39875.200000000004</v>
      </c>
      <c r="O23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17-GA1Pau-Nic24/6</v>
      </c>
    </row>
    <row r="239" spans="1:15" x14ac:dyDescent="0.3">
      <c r="A239" t="s">
        <v>17</v>
      </c>
      <c r="B239" t="s">
        <v>48</v>
      </c>
      <c r="C239" s="1">
        <v>42934</v>
      </c>
      <c r="D239" t="s">
        <v>3</v>
      </c>
      <c r="E239">
        <v>57</v>
      </c>
      <c r="F239">
        <f>IFERROR(VLOOKUP(E239,Margins!$A:$B,2,TRUE),"")</f>
        <v>0.1</v>
      </c>
      <c r="G239">
        <f t="shared" si="9"/>
        <v>69448.800000000003</v>
      </c>
      <c r="H239" t="s">
        <v>68</v>
      </c>
      <c r="I239">
        <v>12184</v>
      </c>
      <c r="J239">
        <f>IF(Table1[[#This Row],[Tickets Sold]]&gt;500,8,5)</f>
        <v>8</v>
      </c>
      <c r="K239">
        <v>9748</v>
      </c>
      <c r="L239" t="str">
        <f>VLOOKUP(H239,Descriptions!A:B, 2, FALSE)</f>
        <v>General Admission (1 day)</v>
      </c>
      <c r="M239">
        <f t="shared" ca="1" si="10"/>
        <v>-2272</v>
      </c>
      <c r="N239">
        <f t="shared" si="11"/>
        <v>55563.6</v>
      </c>
      <c r="O23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17-GA1Pau-Par18/7</v>
      </c>
    </row>
    <row r="240" spans="1:15" x14ac:dyDescent="0.3">
      <c r="A240" t="s">
        <v>33</v>
      </c>
      <c r="B240" t="s">
        <v>56</v>
      </c>
      <c r="C240" s="1">
        <v>42958</v>
      </c>
      <c r="D240" t="s">
        <v>79</v>
      </c>
      <c r="E240">
        <v>41</v>
      </c>
      <c r="F240">
        <f>IFERROR(VLOOKUP(E240,Margins!$A:$B,2,TRUE),"")</f>
        <v>7.0000000000000007E-2</v>
      </c>
      <c r="G240">
        <f t="shared" si="9"/>
        <v>28398.65</v>
      </c>
      <c r="H240" t="s">
        <v>68</v>
      </c>
      <c r="I240">
        <v>9895</v>
      </c>
      <c r="J240">
        <f>IF(Table1[[#This Row],[Tickets Sold]]&gt;500,8,5)</f>
        <v>8</v>
      </c>
      <c r="K240">
        <v>4948</v>
      </c>
      <c r="L240" t="str">
        <f>VLOOKUP(H240,Descriptions!A:B, 2, FALSE)</f>
        <v>General Admission (1 day)</v>
      </c>
      <c r="M240">
        <f t="shared" ca="1" si="10"/>
        <v>-2254</v>
      </c>
      <c r="N240">
        <f t="shared" si="11"/>
        <v>14200.76</v>
      </c>
      <c r="O24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17-GA1Pla-Edi11/8</v>
      </c>
    </row>
    <row r="241" spans="1:15" x14ac:dyDescent="0.3">
      <c r="A241" t="s">
        <v>33</v>
      </c>
      <c r="B241" t="s">
        <v>56</v>
      </c>
      <c r="C241" s="1">
        <v>42958</v>
      </c>
      <c r="D241" t="s">
        <v>79</v>
      </c>
      <c r="E241">
        <v>57</v>
      </c>
      <c r="F241">
        <f>IFERROR(VLOOKUP(E241,Margins!$A:$B,2,TRUE),"")</f>
        <v>0.1</v>
      </c>
      <c r="G241">
        <f t="shared" si="9"/>
        <v>2622</v>
      </c>
      <c r="H241" t="s">
        <v>62</v>
      </c>
      <c r="I241">
        <v>460</v>
      </c>
      <c r="J241">
        <f>IF(Table1[[#This Row],[Tickets Sold]]&gt;500,8,5)</f>
        <v>5</v>
      </c>
      <c r="K241">
        <v>253</v>
      </c>
      <c r="L241" t="str">
        <f>VLOOKUP(H241,Descriptions!A:B, 2, FALSE)</f>
        <v>Seating Cat. 1</v>
      </c>
      <c r="M241">
        <f t="shared" ca="1" si="10"/>
        <v>-2254</v>
      </c>
      <c r="N241">
        <f t="shared" si="11"/>
        <v>1442.1000000000001</v>
      </c>
      <c r="O24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17-SC1Pla-Edi11/8</v>
      </c>
    </row>
    <row r="242" spans="1:15" x14ac:dyDescent="0.3">
      <c r="A242" t="s">
        <v>33</v>
      </c>
      <c r="B242" t="s">
        <v>56</v>
      </c>
      <c r="C242" s="1">
        <v>42958</v>
      </c>
      <c r="D242" t="s">
        <v>79</v>
      </c>
      <c r="E242">
        <v>232</v>
      </c>
      <c r="F242">
        <f>IFERROR(VLOOKUP(E242,Margins!$A:$B,2,TRUE),"")</f>
        <v>0.25</v>
      </c>
      <c r="G242">
        <f t="shared" si="9"/>
        <v>11600</v>
      </c>
      <c r="H242" t="s">
        <v>65</v>
      </c>
      <c r="I242">
        <v>200</v>
      </c>
      <c r="J242">
        <f>IF(Table1[[#This Row],[Tickets Sold]]&gt;500,8,5)</f>
        <v>5</v>
      </c>
      <c r="K242">
        <v>156</v>
      </c>
      <c r="L242" t="str">
        <f>VLOOKUP(H242,Descriptions!A:B, 2, FALSE)</f>
        <v>Ticket + Air travel Package</v>
      </c>
      <c r="M242">
        <f t="shared" ca="1" si="10"/>
        <v>-2254</v>
      </c>
      <c r="N242">
        <f t="shared" si="11"/>
        <v>9048</v>
      </c>
      <c r="O24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17-TA1Pla-Edi11/8</v>
      </c>
    </row>
    <row r="243" spans="1:15" x14ac:dyDescent="0.3">
      <c r="A243" t="s">
        <v>33</v>
      </c>
      <c r="B243" t="s">
        <v>56</v>
      </c>
      <c r="C243" s="1">
        <v>42958</v>
      </c>
      <c r="D243" t="s">
        <v>79</v>
      </c>
      <c r="E243">
        <v>350</v>
      </c>
      <c r="F243">
        <f>IFERROR(VLOOKUP(E243,Margins!$A:$B,2,TRUE),"")</f>
        <v>0.25</v>
      </c>
      <c r="G243">
        <f t="shared" si="9"/>
        <v>35000</v>
      </c>
      <c r="H243" t="s">
        <v>66</v>
      </c>
      <c r="I243">
        <v>400</v>
      </c>
      <c r="J243">
        <f>IF(Table1[[#This Row],[Tickets Sold]]&gt;500,8,5)</f>
        <v>5</v>
      </c>
      <c r="K243">
        <v>380</v>
      </c>
      <c r="L243" t="str">
        <f>VLOOKUP(H243,Descriptions!A:B, 2, FALSE)</f>
        <v>Ticket + Air travel + Hotel Package</v>
      </c>
      <c r="M243">
        <f t="shared" ca="1" si="10"/>
        <v>-2254</v>
      </c>
      <c r="N243">
        <f t="shared" si="11"/>
        <v>33250</v>
      </c>
      <c r="O24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17-TA2Pla-Edi11/8</v>
      </c>
    </row>
    <row r="244" spans="1:15" x14ac:dyDescent="0.3">
      <c r="A244" t="s">
        <v>33</v>
      </c>
      <c r="B244" t="s">
        <v>30</v>
      </c>
      <c r="C244" s="1">
        <v>42967</v>
      </c>
      <c r="D244" t="s">
        <v>79</v>
      </c>
      <c r="E244">
        <v>54</v>
      </c>
      <c r="F244">
        <f>IFERROR(VLOOKUP(E244,Margins!$A:$B,2,TRUE),"")</f>
        <v>0.1</v>
      </c>
      <c r="G244">
        <f t="shared" si="9"/>
        <v>50970.600000000006</v>
      </c>
      <c r="H244" t="s">
        <v>68</v>
      </c>
      <c r="I244">
        <v>9439</v>
      </c>
      <c r="J244">
        <f>IF(Table1[[#This Row],[Tickets Sold]]&gt;500,8,5)</f>
        <v>8</v>
      </c>
      <c r="K244">
        <v>8779</v>
      </c>
      <c r="L244" t="str">
        <f>VLOOKUP(H244,Descriptions!A:B, 2, FALSE)</f>
        <v>General Admission (1 day)</v>
      </c>
      <c r="M244">
        <f t="shared" ca="1" si="10"/>
        <v>-2247</v>
      </c>
      <c r="N244">
        <f t="shared" si="11"/>
        <v>47406.600000000006</v>
      </c>
      <c r="O24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17-GA1Pla-Ams20/8</v>
      </c>
    </row>
    <row r="245" spans="1:15" x14ac:dyDescent="0.3">
      <c r="A245" t="s">
        <v>33</v>
      </c>
      <c r="B245" t="s">
        <v>30</v>
      </c>
      <c r="C245" s="1">
        <v>42967</v>
      </c>
      <c r="D245" t="s">
        <v>79</v>
      </c>
      <c r="E245">
        <v>70</v>
      </c>
      <c r="F245">
        <f>IFERROR(VLOOKUP(E245,Margins!$A:$B,2,TRUE),"")</f>
        <v>0.1</v>
      </c>
      <c r="G245">
        <f t="shared" si="9"/>
        <v>6916</v>
      </c>
      <c r="H245" t="s">
        <v>62</v>
      </c>
      <c r="I245">
        <v>988</v>
      </c>
      <c r="J245">
        <f>IF(Table1[[#This Row],[Tickets Sold]]&gt;500,8,5)</f>
        <v>8</v>
      </c>
      <c r="K245">
        <v>771</v>
      </c>
      <c r="L245" t="str">
        <f>VLOOKUP(H245,Descriptions!A:B, 2, FALSE)</f>
        <v>Seating Cat. 1</v>
      </c>
      <c r="M245">
        <f t="shared" ca="1" si="10"/>
        <v>-2247</v>
      </c>
      <c r="N245">
        <f t="shared" si="11"/>
        <v>5397</v>
      </c>
      <c r="O24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17-SC1Pla-Ams20/8</v>
      </c>
    </row>
    <row r="246" spans="1:15" x14ac:dyDescent="0.3">
      <c r="A246" t="s">
        <v>33</v>
      </c>
      <c r="B246" t="s">
        <v>30</v>
      </c>
      <c r="C246" s="1">
        <v>42967</v>
      </c>
      <c r="D246" t="s">
        <v>79</v>
      </c>
      <c r="E246">
        <v>202</v>
      </c>
      <c r="F246">
        <f>IFERROR(VLOOKUP(E246,Margins!$A:$B,2,TRUE),"")</f>
        <v>0.25</v>
      </c>
      <c r="G246">
        <f t="shared" si="9"/>
        <v>15150</v>
      </c>
      <c r="H246" t="s">
        <v>65</v>
      </c>
      <c r="I246">
        <v>300</v>
      </c>
      <c r="J246">
        <f>IF(Table1[[#This Row],[Tickets Sold]]&gt;500,8,5)</f>
        <v>5</v>
      </c>
      <c r="K246">
        <v>255</v>
      </c>
      <c r="L246" t="str">
        <f>VLOOKUP(H246,Descriptions!A:B, 2, FALSE)</f>
        <v>Ticket + Air travel Package</v>
      </c>
      <c r="M246">
        <f t="shared" ca="1" si="10"/>
        <v>-2247</v>
      </c>
      <c r="N246">
        <f t="shared" si="11"/>
        <v>12877.5</v>
      </c>
      <c r="O24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17-TA1Pla-Ams20/8</v>
      </c>
    </row>
    <row r="247" spans="1:15" x14ac:dyDescent="0.3">
      <c r="A247" t="s">
        <v>33</v>
      </c>
      <c r="B247" t="s">
        <v>30</v>
      </c>
      <c r="C247" s="1">
        <v>42967</v>
      </c>
      <c r="D247" t="s">
        <v>79</v>
      </c>
      <c r="E247">
        <v>301</v>
      </c>
      <c r="F247">
        <f>IFERROR(VLOOKUP(E247,Margins!$A:$B,2,TRUE),"")</f>
        <v>0.25</v>
      </c>
      <c r="G247">
        <f t="shared" si="9"/>
        <v>22575</v>
      </c>
      <c r="H247" t="s">
        <v>66</v>
      </c>
      <c r="I247">
        <v>300</v>
      </c>
      <c r="J247">
        <f>IF(Table1[[#This Row],[Tickets Sold]]&gt;500,8,5)</f>
        <v>5</v>
      </c>
      <c r="K247">
        <v>258</v>
      </c>
      <c r="L247" t="str">
        <f>VLOOKUP(H247,Descriptions!A:B, 2, FALSE)</f>
        <v>Ticket + Air travel + Hotel Package</v>
      </c>
      <c r="M247">
        <f t="shared" ca="1" si="10"/>
        <v>-2247</v>
      </c>
      <c r="N247">
        <f t="shared" si="11"/>
        <v>19414.5</v>
      </c>
      <c r="O24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17-TA2Pla-Ams20/8</v>
      </c>
    </row>
    <row r="248" spans="1:15" x14ac:dyDescent="0.3">
      <c r="A248" t="s">
        <v>9</v>
      </c>
      <c r="B248" t="s">
        <v>52</v>
      </c>
      <c r="C248" s="1">
        <v>42931</v>
      </c>
      <c r="D248" t="s">
        <v>29</v>
      </c>
      <c r="E248">
        <v>50</v>
      </c>
      <c r="F248">
        <f>IFERROR(VLOOKUP(E248,Margins!$A:$B,2,TRUE),"")</f>
        <v>0.1</v>
      </c>
      <c r="G248">
        <f t="shared" si="9"/>
        <v>375000</v>
      </c>
      <c r="H248" t="s">
        <v>68</v>
      </c>
      <c r="I248">
        <v>75000</v>
      </c>
      <c r="J248">
        <f>IF(Table1[[#This Row],[Tickets Sold]]&gt;500,8,5)</f>
        <v>8</v>
      </c>
      <c r="K248">
        <v>54750</v>
      </c>
      <c r="L248" t="str">
        <f>VLOOKUP(H248,Descriptions!A:B, 2, FALSE)</f>
        <v>General Admission (1 day)</v>
      </c>
      <c r="M248">
        <f t="shared" ca="1" si="10"/>
        <v>-2273</v>
      </c>
      <c r="N248">
        <f t="shared" si="11"/>
        <v>273750</v>
      </c>
      <c r="O24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17-GA1Roc-Lon15/7</v>
      </c>
    </row>
    <row r="249" spans="1:15" x14ac:dyDescent="0.3">
      <c r="A249" t="s">
        <v>9</v>
      </c>
      <c r="B249" t="s">
        <v>52</v>
      </c>
      <c r="C249" s="1">
        <v>42931</v>
      </c>
      <c r="D249" t="s">
        <v>29</v>
      </c>
      <c r="E249">
        <v>94</v>
      </c>
      <c r="F249">
        <f>IFERROR(VLOOKUP(E249,Margins!$A:$B,2,TRUE),"")</f>
        <v>0.1</v>
      </c>
      <c r="G249">
        <f t="shared" si="9"/>
        <v>470000</v>
      </c>
      <c r="H249" t="s">
        <v>69</v>
      </c>
      <c r="I249">
        <v>50000</v>
      </c>
      <c r="J249">
        <f>IF(Table1[[#This Row],[Tickets Sold]]&gt;500,8,5)</f>
        <v>8</v>
      </c>
      <c r="K249">
        <v>43500</v>
      </c>
      <c r="L249" t="str">
        <f>VLOOKUP(H249,Descriptions!A:B, 2, FALSE)</f>
        <v>General Admission (2 days)</v>
      </c>
      <c r="M249">
        <f t="shared" ca="1" si="10"/>
        <v>-2273</v>
      </c>
      <c r="N249">
        <f t="shared" si="11"/>
        <v>408900</v>
      </c>
      <c r="O24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17-GA2Roc-Lon15/7</v>
      </c>
    </row>
    <row r="250" spans="1:15" x14ac:dyDescent="0.3">
      <c r="A250" t="s">
        <v>9</v>
      </c>
      <c r="B250" t="s">
        <v>52</v>
      </c>
      <c r="C250" s="1">
        <v>42931</v>
      </c>
      <c r="D250" t="s">
        <v>29</v>
      </c>
      <c r="E250">
        <v>119</v>
      </c>
      <c r="F250">
        <f>IFERROR(VLOOKUP(E250,Margins!$A:$B,2,TRUE),"")</f>
        <v>0.15</v>
      </c>
      <c r="G250">
        <f t="shared" si="9"/>
        <v>892499.99999999988</v>
      </c>
      <c r="H250" t="s">
        <v>70</v>
      </c>
      <c r="I250">
        <v>50000</v>
      </c>
      <c r="J250">
        <f>IF(Table1[[#This Row],[Tickets Sold]]&gt;500,8,5)</f>
        <v>8</v>
      </c>
      <c r="K250">
        <v>33000</v>
      </c>
      <c r="L250" t="str">
        <f>VLOOKUP(H250,Descriptions!A:B, 2, FALSE)</f>
        <v>General Admission (season ticket)</v>
      </c>
      <c r="M250">
        <f t="shared" ca="1" si="10"/>
        <v>-2273</v>
      </c>
      <c r="N250">
        <f t="shared" si="11"/>
        <v>589049.99999999988</v>
      </c>
      <c r="O25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17-GA3Roc-Lon15/7</v>
      </c>
    </row>
    <row r="251" spans="1:15" x14ac:dyDescent="0.3">
      <c r="A251" t="s">
        <v>9</v>
      </c>
      <c r="B251" t="s">
        <v>52</v>
      </c>
      <c r="C251" s="1">
        <v>42931</v>
      </c>
      <c r="D251" t="s">
        <v>29</v>
      </c>
      <c r="E251">
        <v>35</v>
      </c>
      <c r="F251">
        <f>IFERROR(VLOOKUP(E251,Margins!$A:$B,2,TRUE),"")</f>
        <v>7.0000000000000007E-2</v>
      </c>
      <c r="G251">
        <f t="shared" si="9"/>
        <v>264.60000000000002</v>
      </c>
      <c r="H251" t="s">
        <v>67</v>
      </c>
      <c r="I251">
        <v>108</v>
      </c>
      <c r="J251">
        <f>IF(Table1[[#This Row],[Tickets Sold]]&gt;500,8,5)</f>
        <v>5</v>
      </c>
      <c r="K251">
        <v>83</v>
      </c>
      <c r="L251" t="str">
        <f>VLOOKUP(H251,Descriptions!A:B, 2, FALSE)</f>
        <v>Seating-disabled</v>
      </c>
      <c r="M251">
        <f t="shared" ca="1" si="10"/>
        <v>-2273</v>
      </c>
      <c r="N251">
        <f t="shared" si="11"/>
        <v>203.35000000000002</v>
      </c>
      <c r="O25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17-SCDRoc-Lon15/7</v>
      </c>
    </row>
    <row r="252" spans="1:15" x14ac:dyDescent="0.3">
      <c r="A252" t="s">
        <v>9</v>
      </c>
      <c r="B252" t="s">
        <v>52</v>
      </c>
      <c r="C252" s="1">
        <v>42931</v>
      </c>
      <c r="D252" t="s">
        <v>29</v>
      </c>
      <c r="E252">
        <v>21</v>
      </c>
      <c r="F252">
        <f>IFERROR(VLOOKUP(E252,Margins!$A:$B,2,TRUE),"")</f>
        <v>7.0000000000000007E-2</v>
      </c>
      <c r="G252">
        <f t="shared" si="9"/>
        <v>220.50000000000003</v>
      </c>
      <c r="H252" t="s">
        <v>11</v>
      </c>
      <c r="I252">
        <v>150</v>
      </c>
      <c r="J252">
        <f>IF(Table1[[#This Row],[Tickets Sold]]&gt;500,8,5)</f>
        <v>5</v>
      </c>
      <c r="K252">
        <v>83</v>
      </c>
      <c r="L252" t="str">
        <f>VLOOKUP(H252,Descriptions!A:B, 2, FALSE)</f>
        <v>Parking place</v>
      </c>
      <c r="M252">
        <f t="shared" ca="1" si="10"/>
        <v>-2273</v>
      </c>
      <c r="N252">
        <f t="shared" si="11"/>
        <v>122.01000000000002</v>
      </c>
      <c r="O25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17-POSRoc-Lon15/7</v>
      </c>
    </row>
    <row r="253" spans="1:15" x14ac:dyDescent="0.3">
      <c r="A253" t="s">
        <v>9</v>
      </c>
      <c r="B253" t="s">
        <v>52</v>
      </c>
      <c r="C253" s="1">
        <v>42931</v>
      </c>
      <c r="D253" t="s">
        <v>29</v>
      </c>
      <c r="E253">
        <v>63</v>
      </c>
      <c r="F253">
        <f>IFERROR(VLOOKUP(E253,Margins!$A:$B,2,TRUE),"")</f>
        <v>0.1</v>
      </c>
      <c r="G253">
        <f t="shared" si="9"/>
        <v>15750.000000000002</v>
      </c>
      <c r="H253" t="s">
        <v>62</v>
      </c>
      <c r="I253">
        <v>2500</v>
      </c>
      <c r="J253">
        <f>IF(Table1[[#This Row],[Tickets Sold]]&gt;500,8,5)</f>
        <v>8</v>
      </c>
      <c r="K253">
        <v>1650</v>
      </c>
      <c r="L253" t="str">
        <f>VLOOKUP(H253,Descriptions!A:B, 2, FALSE)</f>
        <v>Seating Cat. 1</v>
      </c>
      <c r="M253">
        <f t="shared" ca="1" si="10"/>
        <v>-2273</v>
      </c>
      <c r="N253">
        <f t="shared" si="11"/>
        <v>10395.000000000002</v>
      </c>
      <c r="O25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17-SC1Roc-Lon15/7</v>
      </c>
    </row>
    <row r="254" spans="1:15" x14ac:dyDescent="0.3">
      <c r="A254" t="s">
        <v>9</v>
      </c>
      <c r="B254" t="s">
        <v>52</v>
      </c>
      <c r="C254" s="1">
        <v>42932</v>
      </c>
      <c r="D254" t="s">
        <v>29</v>
      </c>
      <c r="E254">
        <v>57</v>
      </c>
      <c r="F254">
        <f>IFERROR(VLOOKUP(E254,Margins!$A:$B,2,TRUE),"")</f>
        <v>0.1</v>
      </c>
      <c r="G254">
        <f t="shared" si="9"/>
        <v>285000</v>
      </c>
      <c r="H254" t="s">
        <v>68</v>
      </c>
      <c r="I254">
        <v>50000</v>
      </c>
      <c r="J254">
        <f>IF(Table1[[#This Row],[Tickets Sold]]&gt;500,8,5)</f>
        <v>8</v>
      </c>
      <c r="K254">
        <v>40000</v>
      </c>
      <c r="L254" t="str">
        <f>VLOOKUP(H254,Descriptions!A:B, 2, FALSE)</f>
        <v>General Admission (1 day)</v>
      </c>
      <c r="M254">
        <f t="shared" ca="1" si="10"/>
        <v>-2272</v>
      </c>
      <c r="N254">
        <f t="shared" si="11"/>
        <v>228000</v>
      </c>
      <c r="O25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17-GA1Roc-Lon16/7</v>
      </c>
    </row>
    <row r="255" spans="1:15" x14ac:dyDescent="0.3">
      <c r="A255" t="s">
        <v>9</v>
      </c>
      <c r="B255" t="s">
        <v>52</v>
      </c>
      <c r="C255" s="1">
        <v>42932</v>
      </c>
      <c r="D255" t="s">
        <v>29</v>
      </c>
      <c r="E255">
        <v>34</v>
      </c>
      <c r="F255">
        <f>IFERROR(VLOOKUP(E255,Margins!$A:$B,2,TRUE),"")</f>
        <v>7.0000000000000007E-2</v>
      </c>
      <c r="G255">
        <f t="shared" si="9"/>
        <v>214.20000000000002</v>
      </c>
      <c r="H255" t="s">
        <v>67</v>
      </c>
      <c r="I255">
        <v>90</v>
      </c>
      <c r="J255">
        <f>IF(Table1[[#This Row],[Tickets Sold]]&gt;500,8,5)</f>
        <v>5</v>
      </c>
      <c r="K255">
        <v>45</v>
      </c>
      <c r="L255" t="str">
        <f>VLOOKUP(H255,Descriptions!A:B, 2, FALSE)</f>
        <v>Seating-disabled</v>
      </c>
      <c r="M255">
        <f t="shared" ca="1" si="10"/>
        <v>-2272</v>
      </c>
      <c r="N255">
        <f t="shared" si="11"/>
        <v>107.10000000000001</v>
      </c>
      <c r="O25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17-SCDRoc-Lon16/7</v>
      </c>
    </row>
    <row r="256" spans="1:15" x14ac:dyDescent="0.3">
      <c r="A256" t="s">
        <v>9</v>
      </c>
      <c r="B256" t="s">
        <v>52</v>
      </c>
      <c r="C256" s="1">
        <v>42932</v>
      </c>
      <c r="D256" t="s">
        <v>29</v>
      </c>
      <c r="E256">
        <v>31</v>
      </c>
      <c r="F256">
        <f>IFERROR(VLOOKUP(E256,Margins!$A:$B,2,TRUE),"")</f>
        <v>7.0000000000000007E-2</v>
      </c>
      <c r="G256">
        <f t="shared" si="9"/>
        <v>434.00000000000006</v>
      </c>
      <c r="H256" t="s">
        <v>11</v>
      </c>
      <c r="I256">
        <v>200</v>
      </c>
      <c r="J256">
        <f>IF(Table1[[#This Row],[Tickets Sold]]&gt;500,8,5)</f>
        <v>5</v>
      </c>
      <c r="K256">
        <v>160</v>
      </c>
      <c r="L256" t="str">
        <f>VLOOKUP(H256,Descriptions!A:B, 2, FALSE)</f>
        <v>Parking place</v>
      </c>
      <c r="M256">
        <f t="shared" ca="1" si="10"/>
        <v>-2272</v>
      </c>
      <c r="N256">
        <f t="shared" si="11"/>
        <v>347.20000000000005</v>
      </c>
      <c r="O25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17-POSRoc-Lon16/7</v>
      </c>
    </row>
    <row r="257" spans="1:15" x14ac:dyDescent="0.3">
      <c r="A257" t="s">
        <v>9</v>
      </c>
      <c r="B257" t="s">
        <v>52</v>
      </c>
      <c r="C257" s="1">
        <v>42932</v>
      </c>
      <c r="D257" t="s">
        <v>29</v>
      </c>
      <c r="E257">
        <v>54</v>
      </c>
      <c r="F257">
        <f>IFERROR(VLOOKUP(E257,Margins!$A:$B,2,TRUE),"")</f>
        <v>0.1</v>
      </c>
      <c r="G257">
        <f t="shared" si="9"/>
        <v>13500</v>
      </c>
      <c r="H257" t="s">
        <v>62</v>
      </c>
      <c r="I257">
        <v>2500</v>
      </c>
      <c r="J257">
        <f>IF(Table1[[#This Row],[Tickets Sold]]&gt;500,8,5)</f>
        <v>8</v>
      </c>
      <c r="K257">
        <v>1275</v>
      </c>
      <c r="L257" t="str">
        <f>VLOOKUP(H257,Descriptions!A:B, 2, FALSE)</f>
        <v>Seating Cat. 1</v>
      </c>
      <c r="M257">
        <f t="shared" ca="1" si="10"/>
        <v>-2272</v>
      </c>
      <c r="N257">
        <f t="shared" si="11"/>
        <v>6885</v>
      </c>
      <c r="O25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17-SC1Roc-Lon16/7</v>
      </c>
    </row>
    <row r="258" spans="1:15" x14ac:dyDescent="0.3">
      <c r="A258" t="s">
        <v>9</v>
      </c>
      <c r="B258" t="s">
        <v>52</v>
      </c>
      <c r="C258" s="1">
        <v>42933</v>
      </c>
      <c r="D258" t="s">
        <v>29</v>
      </c>
      <c r="E258">
        <v>40</v>
      </c>
      <c r="F258">
        <f>IFERROR(VLOOKUP(E258,Margins!$A:$B,2,TRUE),"")</f>
        <v>7.0000000000000007E-2</v>
      </c>
      <c r="G258">
        <f t="shared" ref="G258:G321" si="12">IFERROR(E258*F258*I258,"")</f>
        <v>210000.00000000003</v>
      </c>
      <c r="H258" t="s">
        <v>68</v>
      </c>
      <c r="I258">
        <v>75000</v>
      </c>
      <c r="J258">
        <f>IF(Table1[[#This Row],[Tickets Sold]]&gt;500,8,5)</f>
        <v>8</v>
      </c>
      <c r="K258">
        <v>40500</v>
      </c>
      <c r="L258" t="str">
        <f>VLOOKUP(H258,Descriptions!A:B, 2, FALSE)</f>
        <v>General Admission (1 day)</v>
      </c>
      <c r="M258">
        <f t="shared" ref="M258:M321" ca="1" si="13">NETWORKDAYS(TODAY(), C258-1)</f>
        <v>-2272</v>
      </c>
      <c r="N258">
        <f t="shared" si="11"/>
        <v>113400.00000000001</v>
      </c>
      <c r="O25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17-GA1Roc-Lon17/7</v>
      </c>
    </row>
    <row r="259" spans="1:15" x14ac:dyDescent="0.3">
      <c r="A259" t="s">
        <v>9</v>
      </c>
      <c r="B259" t="s">
        <v>52</v>
      </c>
      <c r="C259" s="1">
        <v>42933</v>
      </c>
      <c r="D259" t="s">
        <v>29</v>
      </c>
      <c r="E259">
        <v>276</v>
      </c>
      <c r="F259">
        <f>IFERROR(VLOOKUP(E259,Margins!$A:$B,2,TRUE),"")</f>
        <v>0.25</v>
      </c>
      <c r="G259">
        <f t="shared" si="12"/>
        <v>20700</v>
      </c>
      <c r="H259" t="s">
        <v>65</v>
      </c>
      <c r="I259">
        <v>300</v>
      </c>
      <c r="J259">
        <f>IF(Table1[[#This Row],[Tickets Sold]]&gt;500,8,5)</f>
        <v>5</v>
      </c>
      <c r="K259">
        <v>150</v>
      </c>
      <c r="L259" t="str">
        <f>VLOOKUP(H259,Descriptions!A:B, 2, FALSE)</f>
        <v>Ticket + Air travel Package</v>
      </c>
      <c r="M259">
        <f t="shared" ca="1" si="13"/>
        <v>-2272</v>
      </c>
      <c r="N259">
        <f t="shared" ref="N259:N322" si="14">E259*F259*K259</f>
        <v>10350</v>
      </c>
      <c r="O25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17-TA1Roc-Lon17/7</v>
      </c>
    </row>
    <row r="260" spans="1:15" x14ac:dyDescent="0.3">
      <c r="A260" t="s">
        <v>9</v>
      </c>
      <c r="B260" t="s">
        <v>52</v>
      </c>
      <c r="C260" s="1">
        <v>42933</v>
      </c>
      <c r="D260" t="s">
        <v>29</v>
      </c>
      <c r="E260">
        <v>28</v>
      </c>
      <c r="F260">
        <f>IFERROR(VLOOKUP(E260,Margins!$A:$B,2,TRUE),"")</f>
        <v>7.0000000000000007E-2</v>
      </c>
      <c r="G260">
        <f t="shared" si="12"/>
        <v>107.80000000000001</v>
      </c>
      <c r="H260" t="s">
        <v>67</v>
      </c>
      <c r="I260">
        <v>55</v>
      </c>
      <c r="J260">
        <f>IF(Table1[[#This Row],[Tickets Sold]]&gt;500,8,5)</f>
        <v>5</v>
      </c>
      <c r="K260">
        <v>44</v>
      </c>
      <c r="L260" t="str">
        <f>VLOOKUP(H260,Descriptions!A:B, 2, FALSE)</f>
        <v>Seating-disabled</v>
      </c>
      <c r="M260">
        <f t="shared" ca="1" si="13"/>
        <v>-2272</v>
      </c>
      <c r="N260">
        <f t="shared" si="14"/>
        <v>86.240000000000009</v>
      </c>
      <c r="O26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17-SCDRoc-Lon17/7</v>
      </c>
    </row>
    <row r="261" spans="1:15" x14ac:dyDescent="0.3">
      <c r="A261" t="s">
        <v>9</v>
      </c>
      <c r="B261" t="s">
        <v>52</v>
      </c>
      <c r="C261" s="1">
        <v>42933</v>
      </c>
      <c r="D261" t="s">
        <v>29</v>
      </c>
      <c r="E261">
        <v>21</v>
      </c>
      <c r="F261">
        <f>IFERROR(VLOOKUP(E261,Margins!$A:$B,2,TRUE),"")</f>
        <v>7.0000000000000007E-2</v>
      </c>
      <c r="G261">
        <f t="shared" si="12"/>
        <v>220.50000000000003</v>
      </c>
      <c r="H261" t="s">
        <v>11</v>
      </c>
      <c r="I261">
        <v>150</v>
      </c>
      <c r="J261">
        <f>IF(Table1[[#This Row],[Tickets Sold]]&gt;500,8,5)</f>
        <v>5</v>
      </c>
      <c r="K261">
        <v>80</v>
      </c>
      <c r="L261" t="str">
        <f>VLOOKUP(H261,Descriptions!A:B, 2, FALSE)</f>
        <v>Parking place</v>
      </c>
      <c r="M261">
        <f t="shared" ca="1" si="13"/>
        <v>-2272</v>
      </c>
      <c r="N261">
        <f t="shared" si="14"/>
        <v>117.60000000000002</v>
      </c>
      <c r="O26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17-POSRoc-Lon17/7</v>
      </c>
    </row>
    <row r="262" spans="1:15" x14ac:dyDescent="0.3">
      <c r="A262" t="s">
        <v>9</v>
      </c>
      <c r="B262" t="s">
        <v>52</v>
      </c>
      <c r="C262" s="1">
        <v>42933</v>
      </c>
      <c r="D262" t="s">
        <v>29</v>
      </c>
      <c r="E262">
        <v>62</v>
      </c>
      <c r="F262">
        <f>IFERROR(VLOOKUP(E262,Margins!$A:$B,2,TRUE),"")</f>
        <v>0.1</v>
      </c>
      <c r="G262">
        <f t="shared" si="12"/>
        <v>15500</v>
      </c>
      <c r="H262" t="s">
        <v>62</v>
      </c>
      <c r="I262">
        <v>2500</v>
      </c>
      <c r="J262">
        <f>IF(Table1[[#This Row],[Tickets Sold]]&gt;500,8,5)</f>
        <v>8</v>
      </c>
      <c r="K262">
        <v>1650</v>
      </c>
      <c r="L262" t="str">
        <f>VLOOKUP(H262,Descriptions!A:B, 2, FALSE)</f>
        <v>Seating Cat. 1</v>
      </c>
      <c r="M262">
        <f t="shared" ca="1" si="13"/>
        <v>-2272</v>
      </c>
      <c r="N262">
        <f t="shared" si="14"/>
        <v>10230</v>
      </c>
      <c r="O26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17-SC1Roc-Lon17/7</v>
      </c>
    </row>
    <row r="263" spans="1:15" x14ac:dyDescent="0.3">
      <c r="A263" t="s">
        <v>9</v>
      </c>
      <c r="B263" t="s">
        <v>52</v>
      </c>
      <c r="C263" s="1">
        <v>42933</v>
      </c>
      <c r="D263" t="s">
        <v>29</v>
      </c>
      <c r="E263">
        <v>380</v>
      </c>
      <c r="F263">
        <f>IFERROR(VLOOKUP(E263,Margins!$A:$B,2,TRUE),"")</f>
        <v>0.25</v>
      </c>
      <c r="G263">
        <f t="shared" si="12"/>
        <v>28500</v>
      </c>
      <c r="H263" t="s">
        <v>66</v>
      </c>
      <c r="I263">
        <v>300</v>
      </c>
      <c r="J263">
        <f>IF(Table1[[#This Row],[Tickets Sold]]&gt;500,8,5)</f>
        <v>5</v>
      </c>
      <c r="K263">
        <v>159</v>
      </c>
      <c r="L263" t="str">
        <f>VLOOKUP(H263,Descriptions!A:B, 2, FALSE)</f>
        <v>Ticket + Air travel + Hotel Package</v>
      </c>
      <c r="M263">
        <f t="shared" ca="1" si="13"/>
        <v>-2272</v>
      </c>
      <c r="N263">
        <f t="shared" si="14"/>
        <v>15105</v>
      </c>
      <c r="O26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17-TA2Roc-Lon17/7</v>
      </c>
    </row>
    <row r="264" spans="1:15" x14ac:dyDescent="0.3">
      <c r="A264" t="s">
        <v>0</v>
      </c>
      <c r="B264" t="s">
        <v>48</v>
      </c>
      <c r="C264" s="1">
        <v>42892</v>
      </c>
      <c r="D264" t="s">
        <v>82</v>
      </c>
      <c r="E264">
        <v>64</v>
      </c>
      <c r="F264">
        <f>IFERROR(VLOOKUP(E264,Margins!$A:$B,2,TRUE),"")</f>
        <v>0.1</v>
      </c>
      <c r="G264">
        <f t="shared" si="12"/>
        <v>6259.2000000000007</v>
      </c>
      <c r="H264" t="s">
        <v>62</v>
      </c>
      <c r="I264">
        <v>978</v>
      </c>
      <c r="J264">
        <f>IF(Table1[[#This Row],[Tickets Sold]]&gt;500,8,5)</f>
        <v>8</v>
      </c>
      <c r="K264">
        <v>558</v>
      </c>
      <c r="L264" t="str">
        <f>VLOOKUP(H264,Descriptions!A:B, 2, FALSE)</f>
        <v>Seating Cat. 1</v>
      </c>
      <c r="M264">
        <f t="shared" ca="1" si="13"/>
        <v>-2302</v>
      </c>
      <c r="N264">
        <f t="shared" si="14"/>
        <v>3571.2000000000003</v>
      </c>
      <c r="O26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17-SC1Rom-Par6/6</v>
      </c>
    </row>
    <row r="265" spans="1:15" x14ac:dyDescent="0.3">
      <c r="A265" t="s">
        <v>0</v>
      </c>
      <c r="B265" t="s">
        <v>48</v>
      </c>
      <c r="C265" s="1">
        <v>42892</v>
      </c>
      <c r="D265" t="s">
        <v>82</v>
      </c>
      <c r="E265">
        <v>101</v>
      </c>
      <c r="F265">
        <f>IFERROR(VLOOKUP(E265,Margins!$A:$B,2,TRUE),"")</f>
        <v>0.15</v>
      </c>
      <c r="G265">
        <f t="shared" si="12"/>
        <v>6862.9499999999989</v>
      </c>
      <c r="H265" t="s">
        <v>63</v>
      </c>
      <c r="I265">
        <v>453</v>
      </c>
      <c r="J265">
        <f>IF(Table1[[#This Row],[Tickets Sold]]&gt;500,8,5)</f>
        <v>5</v>
      </c>
      <c r="K265">
        <v>413</v>
      </c>
      <c r="L265" t="str">
        <f>VLOOKUP(H265,Descriptions!A:B, 2, FALSE)</f>
        <v>Seating Cat. 2</v>
      </c>
      <c r="M265">
        <f t="shared" ca="1" si="13"/>
        <v>-2302</v>
      </c>
      <c r="N265">
        <f t="shared" si="14"/>
        <v>6256.95</v>
      </c>
      <c r="O26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17-SC2Rom-Par6/6</v>
      </c>
    </row>
    <row r="266" spans="1:15" x14ac:dyDescent="0.3">
      <c r="A266" t="s">
        <v>0</v>
      </c>
      <c r="B266" t="s">
        <v>48</v>
      </c>
      <c r="C266" s="1">
        <v>42892</v>
      </c>
      <c r="D266" t="s">
        <v>82</v>
      </c>
      <c r="E266">
        <v>26</v>
      </c>
      <c r="F266">
        <f>IFERROR(VLOOKUP(E266,Margins!$A:$B,2,TRUE),"")</f>
        <v>7.0000000000000007E-2</v>
      </c>
      <c r="G266">
        <f t="shared" si="12"/>
        <v>189.28000000000003</v>
      </c>
      <c r="H266" t="s">
        <v>67</v>
      </c>
      <c r="I266">
        <v>104</v>
      </c>
      <c r="J266">
        <f>IF(Table1[[#This Row],[Tickets Sold]]&gt;500,8,5)</f>
        <v>5</v>
      </c>
      <c r="K266">
        <v>91</v>
      </c>
      <c r="L266" t="str">
        <f>VLOOKUP(H266,Descriptions!A:B, 2, FALSE)</f>
        <v>Seating-disabled</v>
      </c>
      <c r="M266">
        <f t="shared" ca="1" si="13"/>
        <v>-2302</v>
      </c>
      <c r="N266">
        <f t="shared" si="14"/>
        <v>165.62000000000003</v>
      </c>
      <c r="O26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17-SCDRom-Par6/6</v>
      </c>
    </row>
    <row r="267" spans="1:15" x14ac:dyDescent="0.3">
      <c r="A267" t="s">
        <v>0</v>
      </c>
      <c r="B267" t="s">
        <v>48</v>
      </c>
      <c r="C267" s="1">
        <v>42892</v>
      </c>
      <c r="D267" t="s">
        <v>82</v>
      </c>
      <c r="E267">
        <v>34</v>
      </c>
      <c r="F267">
        <f>IFERROR(VLOOKUP(E267,Margins!$A:$B,2,TRUE),"")</f>
        <v>7.0000000000000007E-2</v>
      </c>
      <c r="G267">
        <f t="shared" si="12"/>
        <v>357.00000000000006</v>
      </c>
      <c r="H267" t="s">
        <v>11</v>
      </c>
      <c r="I267">
        <v>150</v>
      </c>
      <c r="J267">
        <f>IF(Table1[[#This Row],[Tickets Sold]]&gt;500,8,5)</f>
        <v>5</v>
      </c>
      <c r="K267">
        <v>140</v>
      </c>
      <c r="L267" t="str">
        <f>VLOOKUP(H267,Descriptions!A:B, 2, FALSE)</f>
        <v>Parking place</v>
      </c>
      <c r="M267">
        <f t="shared" ca="1" si="13"/>
        <v>-2302</v>
      </c>
      <c r="N267">
        <f t="shared" si="14"/>
        <v>333.20000000000005</v>
      </c>
      <c r="O26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17-POSRom-Par6/6</v>
      </c>
    </row>
    <row r="268" spans="1:15" x14ac:dyDescent="0.3">
      <c r="A268" t="s">
        <v>0</v>
      </c>
      <c r="B268" t="s">
        <v>48</v>
      </c>
      <c r="C268" s="1">
        <v>42892</v>
      </c>
      <c r="D268" t="s">
        <v>82</v>
      </c>
      <c r="E268">
        <v>188</v>
      </c>
      <c r="F268">
        <f>IFERROR(VLOOKUP(E268,Margins!$A:$B,2,TRUE),"")</f>
        <v>0.15</v>
      </c>
      <c r="G268">
        <f t="shared" si="12"/>
        <v>5640</v>
      </c>
      <c r="H268" t="s">
        <v>65</v>
      </c>
      <c r="I268">
        <v>200</v>
      </c>
      <c r="J268">
        <f>IF(Table1[[#This Row],[Tickets Sold]]&gt;500,8,5)</f>
        <v>5</v>
      </c>
      <c r="K268">
        <v>122</v>
      </c>
      <c r="L268" t="str">
        <f>VLOOKUP(H268,Descriptions!A:B, 2, FALSE)</f>
        <v>Ticket + Air travel Package</v>
      </c>
      <c r="M268">
        <f t="shared" ca="1" si="13"/>
        <v>-2302</v>
      </c>
      <c r="N268">
        <f t="shared" si="14"/>
        <v>3440.4</v>
      </c>
      <c r="O26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17-TA1Rom-Par6/6</v>
      </c>
    </row>
    <row r="269" spans="1:15" x14ac:dyDescent="0.3">
      <c r="A269" t="s">
        <v>0</v>
      </c>
      <c r="B269" t="s">
        <v>48</v>
      </c>
      <c r="C269" s="1">
        <v>42892</v>
      </c>
      <c r="D269" t="s">
        <v>82</v>
      </c>
      <c r="E269">
        <v>344</v>
      </c>
      <c r="F269">
        <f>IFERROR(VLOOKUP(E269,Margins!$A:$B,2,TRUE),"")</f>
        <v>0.25</v>
      </c>
      <c r="G269">
        <f t="shared" si="12"/>
        <v>17200</v>
      </c>
      <c r="H269" t="s">
        <v>66</v>
      </c>
      <c r="I269">
        <v>200</v>
      </c>
      <c r="J269">
        <f>IF(Table1[[#This Row],[Tickets Sold]]&gt;500,8,5)</f>
        <v>5</v>
      </c>
      <c r="K269">
        <v>142</v>
      </c>
      <c r="L269" t="str">
        <f>VLOOKUP(H269,Descriptions!A:B, 2, FALSE)</f>
        <v>Ticket + Air travel + Hotel Package</v>
      </c>
      <c r="M269">
        <f t="shared" ca="1" si="13"/>
        <v>-2302</v>
      </c>
      <c r="N269">
        <f t="shared" si="14"/>
        <v>12212</v>
      </c>
      <c r="O26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17-TA2Rom-Par6/6</v>
      </c>
    </row>
    <row r="270" spans="1:15" x14ac:dyDescent="0.3">
      <c r="A270" t="s">
        <v>0</v>
      </c>
      <c r="B270" t="s">
        <v>54</v>
      </c>
      <c r="C270" s="1">
        <v>42894</v>
      </c>
      <c r="D270" t="s">
        <v>82</v>
      </c>
      <c r="E270">
        <v>41</v>
      </c>
      <c r="F270">
        <f>IFERROR(VLOOKUP(E270,Margins!$A:$B,2,TRUE),"")</f>
        <v>7.0000000000000007E-2</v>
      </c>
      <c r="G270">
        <f t="shared" si="12"/>
        <v>3845.8</v>
      </c>
      <c r="H270" t="s">
        <v>62</v>
      </c>
      <c r="I270">
        <v>1340</v>
      </c>
      <c r="J270">
        <f>IF(Table1[[#This Row],[Tickets Sold]]&gt;500,8,5)</f>
        <v>8</v>
      </c>
      <c r="K270">
        <v>912</v>
      </c>
      <c r="L270" t="str">
        <f>VLOOKUP(H270,Descriptions!A:B, 2, FALSE)</f>
        <v>Seating Cat. 1</v>
      </c>
      <c r="M270">
        <f t="shared" ca="1" si="13"/>
        <v>-2300</v>
      </c>
      <c r="N270">
        <f t="shared" si="14"/>
        <v>2617.44</v>
      </c>
      <c r="O27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17-SC1Rom-Ber8/6</v>
      </c>
    </row>
    <row r="271" spans="1:15" x14ac:dyDescent="0.3">
      <c r="A271" t="s">
        <v>0</v>
      </c>
      <c r="B271" t="s">
        <v>54</v>
      </c>
      <c r="C271" s="1">
        <v>42894</v>
      </c>
      <c r="D271" t="s">
        <v>82</v>
      </c>
      <c r="E271">
        <v>190</v>
      </c>
      <c r="F271">
        <f>IFERROR(VLOOKUP(E271,Margins!$A:$B,2,TRUE),"")</f>
        <v>0.15</v>
      </c>
      <c r="G271">
        <f t="shared" si="12"/>
        <v>8550</v>
      </c>
      <c r="H271" t="s">
        <v>65</v>
      </c>
      <c r="I271">
        <v>300</v>
      </c>
      <c r="J271">
        <f>IF(Table1[[#This Row],[Tickets Sold]]&gt;500,8,5)</f>
        <v>5</v>
      </c>
      <c r="K271">
        <v>267</v>
      </c>
      <c r="L271" t="str">
        <f>VLOOKUP(H271,Descriptions!A:B, 2, FALSE)</f>
        <v>Ticket + Air travel Package</v>
      </c>
      <c r="M271">
        <f t="shared" ca="1" si="13"/>
        <v>-2300</v>
      </c>
      <c r="N271">
        <f t="shared" si="14"/>
        <v>7609.5</v>
      </c>
      <c r="O27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17-TA1Rom-Ber8/6</v>
      </c>
    </row>
    <row r="272" spans="1:15" x14ac:dyDescent="0.3">
      <c r="A272" t="s">
        <v>0</v>
      </c>
      <c r="B272" t="s">
        <v>54</v>
      </c>
      <c r="C272" s="1">
        <v>42894</v>
      </c>
      <c r="D272" t="s">
        <v>82</v>
      </c>
      <c r="E272">
        <v>360</v>
      </c>
      <c r="F272">
        <f>IFERROR(VLOOKUP(E272,Margins!$A:$B,2,TRUE),"")</f>
        <v>0.25</v>
      </c>
      <c r="G272">
        <f t="shared" si="12"/>
        <v>36000</v>
      </c>
      <c r="H272" t="s">
        <v>66</v>
      </c>
      <c r="I272">
        <v>400</v>
      </c>
      <c r="J272">
        <f>IF(Table1[[#This Row],[Tickets Sold]]&gt;500,8,5)</f>
        <v>5</v>
      </c>
      <c r="K272">
        <v>348</v>
      </c>
      <c r="L272" t="str">
        <f>VLOOKUP(H272,Descriptions!A:B, 2, FALSE)</f>
        <v>Ticket + Air travel + Hotel Package</v>
      </c>
      <c r="M272">
        <f t="shared" ca="1" si="13"/>
        <v>-2300</v>
      </c>
      <c r="N272">
        <f t="shared" si="14"/>
        <v>31320</v>
      </c>
      <c r="O27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17-TA2Rom-Ber8/6</v>
      </c>
    </row>
    <row r="273" spans="1:15" x14ac:dyDescent="0.3">
      <c r="A273" t="s">
        <v>0</v>
      </c>
      <c r="B273" t="s">
        <v>56</v>
      </c>
      <c r="C273" s="1">
        <v>42897</v>
      </c>
      <c r="D273" t="s">
        <v>82</v>
      </c>
      <c r="E273">
        <v>79</v>
      </c>
      <c r="F273">
        <f>IFERROR(VLOOKUP(E273,Margins!$A:$B,2,TRUE),"")</f>
        <v>0.1</v>
      </c>
      <c r="G273">
        <f t="shared" si="12"/>
        <v>7473.4000000000005</v>
      </c>
      <c r="H273" t="s">
        <v>62</v>
      </c>
      <c r="I273">
        <v>946</v>
      </c>
      <c r="J273">
        <f>IF(Table1[[#This Row],[Tickets Sold]]&gt;500,8,5)</f>
        <v>8</v>
      </c>
      <c r="K273">
        <v>748</v>
      </c>
      <c r="L273" t="str">
        <f>VLOOKUP(H273,Descriptions!A:B, 2, FALSE)</f>
        <v>Seating Cat. 1</v>
      </c>
      <c r="M273">
        <f t="shared" ca="1" si="13"/>
        <v>-2297</v>
      </c>
      <c r="N273">
        <f t="shared" si="14"/>
        <v>5909.2</v>
      </c>
      <c r="O27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17-SC1Rom-Edi11/6</v>
      </c>
    </row>
    <row r="274" spans="1:15" x14ac:dyDescent="0.3">
      <c r="A274" t="s">
        <v>0</v>
      </c>
      <c r="B274" t="s">
        <v>56</v>
      </c>
      <c r="C274" s="1">
        <v>42897</v>
      </c>
      <c r="D274" t="s">
        <v>82</v>
      </c>
      <c r="E274">
        <v>212</v>
      </c>
      <c r="F274">
        <f>IFERROR(VLOOKUP(E274,Margins!$A:$B,2,TRUE),"")</f>
        <v>0.25</v>
      </c>
      <c r="G274">
        <f t="shared" si="12"/>
        <v>15900</v>
      </c>
      <c r="H274" t="s">
        <v>65</v>
      </c>
      <c r="I274">
        <v>300</v>
      </c>
      <c r="J274">
        <f>IF(Table1[[#This Row],[Tickets Sold]]&gt;500,8,5)</f>
        <v>5</v>
      </c>
      <c r="K274">
        <v>174</v>
      </c>
      <c r="L274" t="str">
        <f>VLOOKUP(H274,Descriptions!A:B, 2, FALSE)</f>
        <v>Ticket + Air travel Package</v>
      </c>
      <c r="M274">
        <f t="shared" ca="1" si="13"/>
        <v>-2297</v>
      </c>
      <c r="N274">
        <f t="shared" si="14"/>
        <v>9222</v>
      </c>
      <c r="O27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17-TA1Rom-Edi11/6</v>
      </c>
    </row>
    <row r="275" spans="1:15" x14ac:dyDescent="0.3">
      <c r="A275" t="s">
        <v>0</v>
      </c>
      <c r="B275" t="s">
        <v>56</v>
      </c>
      <c r="C275" s="1">
        <v>42897</v>
      </c>
      <c r="D275" t="s">
        <v>82</v>
      </c>
      <c r="E275">
        <v>306</v>
      </c>
      <c r="F275">
        <f>IFERROR(VLOOKUP(E275,Margins!$A:$B,2,TRUE),"")</f>
        <v>0.25</v>
      </c>
      <c r="G275">
        <f t="shared" si="12"/>
        <v>22950</v>
      </c>
      <c r="H275" t="s">
        <v>66</v>
      </c>
      <c r="I275">
        <v>300</v>
      </c>
      <c r="J275">
        <f>IF(Table1[[#This Row],[Tickets Sold]]&gt;500,8,5)</f>
        <v>5</v>
      </c>
      <c r="K275">
        <v>183</v>
      </c>
      <c r="L275" t="str">
        <f>VLOOKUP(H275,Descriptions!A:B, 2, FALSE)</f>
        <v>Ticket + Air travel + Hotel Package</v>
      </c>
      <c r="M275">
        <f t="shared" ca="1" si="13"/>
        <v>-2297</v>
      </c>
      <c r="N275">
        <f t="shared" si="14"/>
        <v>13999.5</v>
      </c>
      <c r="O27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17-TA2Rom-Edi11/6</v>
      </c>
    </row>
    <row r="276" spans="1:15" x14ac:dyDescent="0.3">
      <c r="A276" t="s">
        <v>0</v>
      </c>
      <c r="B276" t="s">
        <v>54</v>
      </c>
      <c r="C276" s="1">
        <v>42905</v>
      </c>
      <c r="D276" t="s">
        <v>82</v>
      </c>
      <c r="E276">
        <v>47</v>
      </c>
      <c r="F276">
        <f>IFERROR(VLOOKUP(E276,Margins!$A:$B,2,TRUE),"")</f>
        <v>7.0000000000000007E-2</v>
      </c>
      <c r="G276">
        <f t="shared" si="12"/>
        <v>4112.5000000000009</v>
      </c>
      <c r="H276" t="s">
        <v>62</v>
      </c>
      <c r="I276">
        <v>1250</v>
      </c>
      <c r="J276">
        <f>IF(Table1[[#This Row],[Tickets Sold]]&gt;500,8,5)</f>
        <v>8</v>
      </c>
      <c r="K276">
        <v>1113</v>
      </c>
      <c r="L276" t="str">
        <f>VLOOKUP(H276,Descriptions!A:B, 2, FALSE)</f>
        <v>Seating Cat. 1</v>
      </c>
      <c r="M276">
        <f t="shared" ca="1" si="13"/>
        <v>-2292</v>
      </c>
      <c r="N276">
        <f t="shared" si="14"/>
        <v>3661.7700000000004</v>
      </c>
      <c r="O27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17-SC1Rom-Ber19/6</v>
      </c>
    </row>
    <row r="277" spans="1:15" x14ac:dyDescent="0.3">
      <c r="A277" t="s">
        <v>0</v>
      </c>
      <c r="B277" t="s">
        <v>54</v>
      </c>
      <c r="C277" s="1">
        <v>42905</v>
      </c>
      <c r="D277" t="s">
        <v>82</v>
      </c>
      <c r="E277">
        <v>261</v>
      </c>
      <c r="F277">
        <f>IFERROR(VLOOKUP(E277,Margins!$A:$B,2,TRUE),"")</f>
        <v>0.25</v>
      </c>
      <c r="G277">
        <f t="shared" si="12"/>
        <v>19575</v>
      </c>
      <c r="H277" t="s">
        <v>65</v>
      </c>
      <c r="I277">
        <v>300</v>
      </c>
      <c r="J277">
        <f>IF(Table1[[#This Row],[Tickets Sold]]&gt;500,8,5)</f>
        <v>5</v>
      </c>
      <c r="K277">
        <v>213</v>
      </c>
      <c r="L277" t="str">
        <f>VLOOKUP(H277,Descriptions!A:B, 2, FALSE)</f>
        <v>Ticket + Air travel Package</v>
      </c>
      <c r="M277">
        <f t="shared" ca="1" si="13"/>
        <v>-2292</v>
      </c>
      <c r="N277">
        <f t="shared" si="14"/>
        <v>13898.25</v>
      </c>
      <c r="O27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17-TA1Rom-Ber19/6</v>
      </c>
    </row>
    <row r="278" spans="1:15" x14ac:dyDescent="0.3">
      <c r="A278" t="s">
        <v>0</v>
      </c>
      <c r="B278" t="s">
        <v>54</v>
      </c>
      <c r="C278" s="1">
        <v>42905</v>
      </c>
      <c r="D278" t="s">
        <v>82</v>
      </c>
      <c r="E278">
        <v>397</v>
      </c>
      <c r="F278">
        <f>IFERROR(VLOOKUP(E278,Margins!$A:$B,2,TRUE),"")</f>
        <v>0.25</v>
      </c>
      <c r="G278">
        <f t="shared" si="12"/>
        <v>19850</v>
      </c>
      <c r="H278" t="s">
        <v>66</v>
      </c>
      <c r="I278">
        <v>200</v>
      </c>
      <c r="J278">
        <f>IF(Table1[[#This Row],[Tickets Sold]]&gt;500,8,5)</f>
        <v>5</v>
      </c>
      <c r="K278">
        <v>142</v>
      </c>
      <c r="L278" t="str">
        <f>VLOOKUP(H278,Descriptions!A:B, 2, FALSE)</f>
        <v>Ticket + Air travel + Hotel Package</v>
      </c>
      <c r="M278">
        <f t="shared" ca="1" si="13"/>
        <v>-2292</v>
      </c>
      <c r="N278">
        <f t="shared" si="14"/>
        <v>14093.5</v>
      </c>
      <c r="O27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17-TA2Rom-Ber19/6</v>
      </c>
    </row>
    <row r="279" spans="1:15" x14ac:dyDescent="0.3">
      <c r="A279" t="s">
        <v>0</v>
      </c>
      <c r="B279" t="s">
        <v>48</v>
      </c>
      <c r="C279" s="1">
        <v>42918</v>
      </c>
      <c r="D279" t="s">
        <v>82</v>
      </c>
      <c r="E279">
        <v>64</v>
      </c>
      <c r="F279">
        <f>IFERROR(VLOOKUP(E279,Margins!$A:$B,2,TRUE),"")</f>
        <v>0.1</v>
      </c>
      <c r="G279">
        <f t="shared" si="12"/>
        <v>4147.2</v>
      </c>
      <c r="H279" t="s">
        <v>62</v>
      </c>
      <c r="I279">
        <v>648</v>
      </c>
      <c r="J279">
        <f>IF(Table1[[#This Row],[Tickets Sold]]&gt;500,8,5)</f>
        <v>5</v>
      </c>
      <c r="K279">
        <v>415</v>
      </c>
      <c r="L279" t="str">
        <f>VLOOKUP(H279,Descriptions!A:B, 2, FALSE)</f>
        <v>Seating Cat. 1</v>
      </c>
      <c r="M279">
        <f t="shared" ca="1" si="13"/>
        <v>-2282</v>
      </c>
      <c r="N279">
        <f t="shared" si="14"/>
        <v>2656</v>
      </c>
      <c r="O27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17-SC1Rom-Par2/7</v>
      </c>
    </row>
    <row r="280" spans="1:15" x14ac:dyDescent="0.3">
      <c r="A280" t="s">
        <v>0</v>
      </c>
      <c r="B280" t="s">
        <v>48</v>
      </c>
      <c r="C280" s="1">
        <v>42918</v>
      </c>
      <c r="D280" t="s">
        <v>82</v>
      </c>
      <c r="E280">
        <v>91</v>
      </c>
      <c r="F280">
        <f>IFERROR(VLOOKUP(E280,Margins!$A:$B,2,TRUE),"")</f>
        <v>0.1</v>
      </c>
      <c r="G280">
        <f t="shared" si="12"/>
        <v>3749.2</v>
      </c>
      <c r="H280" t="s">
        <v>63</v>
      </c>
      <c r="I280">
        <v>412</v>
      </c>
      <c r="J280">
        <f>IF(Table1[[#This Row],[Tickets Sold]]&gt;500,8,5)</f>
        <v>5</v>
      </c>
      <c r="K280">
        <v>223</v>
      </c>
      <c r="L280" t="str">
        <f>VLOOKUP(H280,Descriptions!A:B, 2, FALSE)</f>
        <v>Seating Cat. 2</v>
      </c>
      <c r="M280">
        <f t="shared" ca="1" si="13"/>
        <v>-2282</v>
      </c>
      <c r="N280">
        <f t="shared" si="14"/>
        <v>2029.3</v>
      </c>
      <c r="O28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17-SC2Rom-Par2/7</v>
      </c>
    </row>
    <row r="281" spans="1:15" x14ac:dyDescent="0.3">
      <c r="A281" t="s">
        <v>0</v>
      </c>
      <c r="B281" t="s">
        <v>48</v>
      </c>
      <c r="C281" s="1">
        <v>42918</v>
      </c>
      <c r="D281" t="s">
        <v>82</v>
      </c>
      <c r="E281">
        <v>24</v>
      </c>
      <c r="F281">
        <f>IFERROR(VLOOKUP(E281,Margins!$A:$B,2,TRUE),"")</f>
        <v>7.0000000000000007E-2</v>
      </c>
      <c r="G281">
        <f t="shared" si="12"/>
        <v>201.60000000000002</v>
      </c>
      <c r="H281" t="s">
        <v>67</v>
      </c>
      <c r="I281">
        <v>120</v>
      </c>
      <c r="J281">
        <f>IF(Table1[[#This Row],[Tickets Sold]]&gt;500,8,5)</f>
        <v>5</v>
      </c>
      <c r="K281">
        <v>93</v>
      </c>
      <c r="L281" t="str">
        <f>VLOOKUP(H281,Descriptions!A:B, 2, FALSE)</f>
        <v>Seating-disabled</v>
      </c>
      <c r="M281">
        <f t="shared" ca="1" si="13"/>
        <v>-2282</v>
      </c>
      <c r="N281">
        <f t="shared" si="14"/>
        <v>156.24</v>
      </c>
      <c r="O28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17-SCDRom-Par2/7</v>
      </c>
    </row>
    <row r="282" spans="1:15" x14ac:dyDescent="0.3">
      <c r="A282" t="s">
        <v>0</v>
      </c>
      <c r="B282" t="s">
        <v>48</v>
      </c>
      <c r="C282" s="1">
        <v>42918</v>
      </c>
      <c r="D282" t="s">
        <v>82</v>
      </c>
      <c r="E282">
        <v>30</v>
      </c>
      <c r="F282">
        <f>IFERROR(VLOOKUP(E282,Margins!$A:$B,2,TRUE),"")</f>
        <v>7.0000000000000007E-2</v>
      </c>
      <c r="G282">
        <f t="shared" si="12"/>
        <v>315</v>
      </c>
      <c r="H282" t="s">
        <v>11</v>
      </c>
      <c r="I282">
        <v>150</v>
      </c>
      <c r="J282">
        <f>IF(Table1[[#This Row],[Tickets Sold]]&gt;500,8,5)</f>
        <v>5</v>
      </c>
      <c r="K282">
        <v>89</v>
      </c>
      <c r="L282" t="str">
        <f>VLOOKUP(H282,Descriptions!A:B, 2, FALSE)</f>
        <v>Parking place</v>
      </c>
      <c r="M282">
        <f t="shared" ca="1" si="13"/>
        <v>-2282</v>
      </c>
      <c r="N282">
        <f t="shared" si="14"/>
        <v>186.9</v>
      </c>
      <c r="O28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17-POSRom-Par2/7</v>
      </c>
    </row>
    <row r="283" spans="1:15" x14ac:dyDescent="0.3">
      <c r="A283" t="s">
        <v>0</v>
      </c>
      <c r="B283" t="s">
        <v>48</v>
      </c>
      <c r="C283" s="1">
        <v>42918</v>
      </c>
      <c r="D283" t="s">
        <v>82</v>
      </c>
      <c r="E283">
        <v>291</v>
      </c>
      <c r="F283">
        <f>IFERROR(VLOOKUP(E283,Margins!$A:$B,2,TRUE),"")</f>
        <v>0.25</v>
      </c>
      <c r="G283">
        <f t="shared" si="12"/>
        <v>29100</v>
      </c>
      <c r="H283" t="s">
        <v>65</v>
      </c>
      <c r="I283">
        <v>400</v>
      </c>
      <c r="J283">
        <f>IF(Table1[[#This Row],[Tickets Sold]]&gt;500,8,5)</f>
        <v>5</v>
      </c>
      <c r="K283">
        <v>368</v>
      </c>
      <c r="L283" t="str">
        <f>VLOOKUP(H283,Descriptions!A:B, 2, FALSE)</f>
        <v>Ticket + Air travel Package</v>
      </c>
      <c r="M283">
        <f t="shared" ca="1" si="13"/>
        <v>-2282</v>
      </c>
      <c r="N283">
        <f t="shared" si="14"/>
        <v>26772</v>
      </c>
      <c r="O28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17-TA1Rom-Par2/7</v>
      </c>
    </row>
    <row r="284" spans="1:15" x14ac:dyDescent="0.3">
      <c r="A284" t="s">
        <v>0</v>
      </c>
      <c r="B284" t="s">
        <v>48</v>
      </c>
      <c r="C284" s="1">
        <v>42918</v>
      </c>
      <c r="D284" t="s">
        <v>82</v>
      </c>
      <c r="E284">
        <v>345</v>
      </c>
      <c r="F284">
        <f>IFERROR(VLOOKUP(E284,Margins!$A:$B,2,TRUE),"")</f>
        <v>0.25</v>
      </c>
      <c r="G284">
        <f t="shared" si="12"/>
        <v>25875</v>
      </c>
      <c r="H284" t="s">
        <v>66</v>
      </c>
      <c r="I284">
        <v>300</v>
      </c>
      <c r="J284">
        <f>IF(Table1[[#This Row],[Tickets Sold]]&gt;500,8,5)</f>
        <v>5</v>
      </c>
      <c r="K284">
        <v>210</v>
      </c>
      <c r="L284" t="str">
        <f>VLOOKUP(H284,Descriptions!A:B, 2, FALSE)</f>
        <v>Ticket + Air travel + Hotel Package</v>
      </c>
      <c r="M284">
        <f t="shared" ca="1" si="13"/>
        <v>-2282</v>
      </c>
      <c r="N284">
        <f t="shared" si="14"/>
        <v>18112.5</v>
      </c>
      <c r="O28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17-TA2Rom-Par2/7</v>
      </c>
    </row>
    <row r="285" spans="1:15" x14ac:dyDescent="0.3">
      <c r="A285" t="s">
        <v>0</v>
      </c>
      <c r="B285" t="s">
        <v>52</v>
      </c>
      <c r="C285" s="1">
        <v>42927</v>
      </c>
      <c r="D285" t="s">
        <v>82</v>
      </c>
      <c r="E285">
        <v>40</v>
      </c>
      <c r="F285">
        <f>IFERROR(VLOOKUP(E285,Margins!$A:$B,2,TRUE),"")</f>
        <v>7.0000000000000007E-2</v>
      </c>
      <c r="G285">
        <f t="shared" si="12"/>
        <v>3091.2000000000003</v>
      </c>
      <c r="H285" t="s">
        <v>62</v>
      </c>
      <c r="I285">
        <v>1104</v>
      </c>
      <c r="J285">
        <f>IF(Table1[[#This Row],[Tickets Sold]]&gt;500,8,5)</f>
        <v>8</v>
      </c>
      <c r="K285">
        <v>994</v>
      </c>
      <c r="L285" t="str">
        <f>VLOOKUP(H285,Descriptions!A:B, 2, FALSE)</f>
        <v>Seating Cat. 1</v>
      </c>
      <c r="M285">
        <f t="shared" ca="1" si="13"/>
        <v>-2277</v>
      </c>
      <c r="N285">
        <f t="shared" si="14"/>
        <v>2783.2000000000003</v>
      </c>
      <c r="O28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17-SC1Rom-Lon11/7</v>
      </c>
    </row>
    <row r="286" spans="1:15" x14ac:dyDescent="0.3">
      <c r="A286" t="s">
        <v>0</v>
      </c>
      <c r="B286" t="s">
        <v>52</v>
      </c>
      <c r="C286" s="1">
        <v>42927</v>
      </c>
      <c r="D286" t="s">
        <v>82</v>
      </c>
      <c r="E286">
        <v>77</v>
      </c>
      <c r="F286">
        <f>IFERROR(VLOOKUP(E286,Margins!$A:$B,2,TRUE),"")</f>
        <v>0.1</v>
      </c>
      <c r="G286">
        <f t="shared" si="12"/>
        <v>2972.2000000000003</v>
      </c>
      <c r="H286" t="s">
        <v>63</v>
      </c>
      <c r="I286">
        <v>386</v>
      </c>
      <c r="J286">
        <f>IF(Table1[[#This Row],[Tickets Sold]]&gt;500,8,5)</f>
        <v>5</v>
      </c>
      <c r="K286">
        <v>205</v>
      </c>
      <c r="L286" t="str">
        <f>VLOOKUP(H286,Descriptions!A:B, 2, FALSE)</f>
        <v>Seating Cat. 2</v>
      </c>
      <c r="M286">
        <f t="shared" ca="1" si="13"/>
        <v>-2277</v>
      </c>
      <c r="N286">
        <f t="shared" si="14"/>
        <v>1578.5</v>
      </c>
      <c r="O28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17-SC2Rom-Lon11/7</v>
      </c>
    </row>
    <row r="287" spans="1:15" x14ac:dyDescent="0.3">
      <c r="A287" t="s">
        <v>0</v>
      </c>
      <c r="B287" t="s">
        <v>52</v>
      </c>
      <c r="C287" s="1">
        <v>42927</v>
      </c>
      <c r="D287" t="s">
        <v>82</v>
      </c>
      <c r="E287">
        <v>165</v>
      </c>
      <c r="F287">
        <f>IFERROR(VLOOKUP(E287,Margins!$A:$B,2,TRUE),"")</f>
        <v>0.15</v>
      </c>
      <c r="G287">
        <f t="shared" si="12"/>
        <v>5197.5</v>
      </c>
      <c r="H287" t="s">
        <v>64</v>
      </c>
      <c r="I287">
        <v>210</v>
      </c>
      <c r="J287">
        <f>IF(Table1[[#This Row],[Tickets Sold]]&gt;500,8,5)</f>
        <v>5</v>
      </c>
      <c r="K287">
        <v>175</v>
      </c>
      <c r="L287" t="str">
        <f>VLOOKUP(H287,Descriptions!A:B, 2, FALSE)</f>
        <v>Seating Cat. 3</v>
      </c>
      <c r="M287">
        <f t="shared" ca="1" si="13"/>
        <v>-2277</v>
      </c>
      <c r="N287">
        <f t="shared" si="14"/>
        <v>4331.25</v>
      </c>
      <c r="O28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17-SC3Rom-Lon11/7</v>
      </c>
    </row>
    <row r="288" spans="1:15" x14ac:dyDescent="0.3">
      <c r="A288" t="s">
        <v>0</v>
      </c>
      <c r="B288" t="s">
        <v>52</v>
      </c>
      <c r="C288" s="1">
        <v>42927</v>
      </c>
      <c r="D288" t="s">
        <v>82</v>
      </c>
      <c r="E288">
        <v>289</v>
      </c>
      <c r="F288">
        <f>IFERROR(VLOOKUP(E288,Margins!$A:$B,2,TRUE),"")</f>
        <v>0.25</v>
      </c>
      <c r="G288">
        <f t="shared" si="12"/>
        <v>21675</v>
      </c>
      <c r="H288" t="s">
        <v>65</v>
      </c>
      <c r="I288">
        <v>300</v>
      </c>
      <c r="J288">
        <f>IF(Table1[[#This Row],[Tickets Sold]]&gt;500,8,5)</f>
        <v>5</v>
      </c>
      <c r="K288">
        <v>177</v>
      </c>
      <c r="L288" t="str">
        <f>VLOOKUP(H288,Descriptions!A:B, 2, FALSE)</f>
        <v>Ticket + Air travel Package</v>
      </c>
      <c r="M288">
        <f t="shared" ca="1" si="13"/>
        <v>-2277</v>
      </c>
      <c r="N288">
        <f t="shared" si="14"/>
        <v>12788.25</v>
      </c>
      <c r="O28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17-TA1Rom-Lon11/7</v>
      </c>
    </row>
    <row r="289" spans="1:15" x14ac:dyDescent="0.3">
      <c r="A289" t="s">
        <v>0</v>
      </c>
      <c r="B289" t="s">
        <v>52</v>
      </c>
      <c r="C289" s="1">
        <v>42927</v>
      </c>
      <c r="D289" t="s">
        <v>82</v>
      </c>
      <c r="E289">
        <v>349</v>
      </c>
      <c r="F289">
        <f>IFERROR(VLOOKUP(E289,Margins!$A:$B,2,TRUE),"")</f>
        <v>0.25</v>
      </c>
      <c r="G289">
        <f t="shared" si="12"/>
        <v>26175</v>
      </c>
      <c r="H289" t="s">
        <v>66</v>
      </c>
      <c r="I289">
        <v>300</v>
      </c>
      <c r="J289">
        <f>IF(Table1[[#This Row],[Tickets Sold]]&gt;500,8,5)</f>
        <v>5</v>
      </c>
      <c r="K289">
        <v>267</v>
      </c>
      <c r="L289" t="str">
        <f>VLOOKUP(H289,Descriptions!A:B, 2, FALSE)</f>
        <v>Ticket + Air travel + Hotel Package</v>
      </c>
      <c r="M289">
        <f t="shared" ca="1" si="13"/>
        <v>-2277</v>
      </c>
      <c r="N289">
        <f t="shared" si="14"/>
        <v>23295.75</v>
      </c>
      <c r="O28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17-TA2Rom-Lon11/7</v>
      </c>
    </row>
    <row r="290" spans="1:15" x14ac:dyDescent="0.3">
      <c r="A290" t="s">
        <v>0</v>
      </c>
      <c r="B290" t="s">
        <v>52</v>
      </c>
      <c r="C290" s="1">
        <v>42938</v>
      </c>
      <c r="D290" t="s">
        <v>82</v>
      </c>
      <c r="E290">
        <v>74</v>
      </c>
      <c r="F290">
        <f>IFERROR(VLOOKUP(E290,Margins!$A:$B,2,TRUE),"")</f>
        <v>0.1</v>
      </c>
      <c r="G290">
        <f t="shared" si="12"/>
        <v>8169.6</v>
      </c>
      <c r="H290" t="s">
        <v>62</v>
      </c>
      <c r="I290">
        <v>1104</v>
      </c>
      <c r="J290">
        <f>IF(Table1[[#This Row],[Tickets Sold]]&gt;500,8,5)</f>
        <v>8</v>
      </c>
      <c r="K290">
        <v>619</v>
      </c>
      <c r="L290" t="str">
        <f>VLOOKUP(H290,Descriptions!A:B, 2, FALSE)</f>
        <v>Seating Cat. 1</v>
      </c>
      <c r="M290">
        <f t="shared" ca="1" si="13"/>
        <v>-2268</v>
      </c>
      <c r="N290">
        <f t="shared" si="14"/>
        <v>4580.6000000000004</v>
      </c>
      <c r="O29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17-SC1Rom-Lon22/7</v>
      </c>
    </row>
    <row r="291" spans="1:15" x14ac:dyDescent="0.3">
      <c r="A291" t="s">
        <v>0</v>
      </c>
      <c r="B291" t="s">
        <v>52</v>
      </c>
      <c r="C291" s="1">
        <v>42938</v>
      </c>
      <c r="D291" t="s">
        <v>82</v>
      </c>
      <c r="E291">
        <v>82</v>
      </c>
      <c r="F291">
        <f>IFERROR(VLOOKUP(E291,Margins!$A:$B,2,TRUE),"")</f>
        <v>0.1</v>
      </c>
      <c r="G291">
        <f t="shared" si="12"/>
        <v>3165.2000000000003</v>
      </c>
      <c r="H291" t="s">
        <v>63</v>
      </c>
      <c r="I291">
        <v>386</v>
      </c>
      <c r="J291">
        <f>IF(Table1[[#This Row],[Tickets Sold]]&gt;500,8,5)</f>
        <v>5</v>
      </c>
      <c r="K291">
        <v>221</v>
      </c>
      <c r="L291" t="str">
        <f>VLOOKUP(H291,Descriptions!A:B, 2, FALSE)</f>
        <v>Seating Cat. 2</v>
      </c>
      <c r="M291">
        <f t="shared" ca="1" si="13"/>
        <v>-2268</v>
      </c>
      <c r="N291">
        <f t="shared" si="14"/>
        <v>1812.2000000000003</v>
      </c>
      <c r="O29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17-SC2Rom-Lon22/7</v>
      </c>
    </row>
    <row r="292" spans="1:15" x14ac:dyDescent="0.3">
      <c r="A292" t="s">
        <v>0</v>
      </c>
      <c r="B292" t="s">
        <v>52</v>
      </c>
      <c r="C292" s="1">
        <v>42938</v>
      </c>
      <c r="D292" t="s">
        <v>82</v>
      </c>
      <c r="E292">
        <v>189</v>
      </c>
      <c r="F292">
        <f>IFERROR(VLOOKUP(E292,Margins!$A:$B,2,TRUE),"")</f>
        <v>0.15</v>
      </c>
      <c r="G292">
        <f t="shared" si="12"/>
        <v>5953.5</v>
      </c>
      <c r="H292" t="s">
        <v>64</v>
      </c>
      <c r="I292">
        <v>210</v>
      </c>
      <c r="J292">
        <f>IF(Table1[[#This Row],[Tickets Sold]]&gt;500,8,5)</f>
        <v>5</v>
      </c>
      <c r="K292">
        <v>135</v>
      </c>
      <c r="L292" t="str">
        <f>VLOOKUP(H292,Descriptions!A:B, 2, FALSE)</f>
        <v>Seating Cat. 3</v>
      </c>
      <c r="M292">
        <f t="shared" ca="1" si="13"/>
        <v>-2268</v>
      </c>
      <c r="N292">
        <f t="shared" si="14"/>
        <v>3827.2499999999995</v>
      </c>
      <c r="O29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17-SC3Rom-Lon22/7</v>
      </c>
    </row>
    <row r="293" spans="1:15" x14ac:dyDescent="0.3">
      <c r="A293" t="s">
        <v>0</v>
      </c>
      <c r="B293" t="s">
        <v>52</v>
      </c>
      <c r="C293" s="1">
        <v>42938</v>
      </c>
      <c r="D293" t="s">
        <v>82</v>
      </c>
      <c r="E293">
        <v>299</v>
      </c>
      <c r="F293">
        <f>IFERROR(VLOOKUP(E293,Margins!$A:$B,2,TRUE),"")</f>
        <v>0.25</v>
      </c>
      <c r="G293">
        <f t="shared" si="12"/>
        <v>14950</v>
      </c>
      <c r="H293" t="s">
        <v>65</v>
      </c>
      <c r="I293">
        <v>200</v>
      </c>
      <c r="J293">
        <f>IF(Table1[[#This Row],[Tickets Sold]]&gt;500,8,5)</f>
        <v>5</v>
      </c>
      <c r="K293">
        <v>180</v>
      </c>
      <c r="L293" t="str">
        <f>VLOOKUP(H293,Descriptions!A:B, 2, FALSE)</f>
        <v>Ticket + Air travel Package</v>
      </c>
      <c r="M293">
        <f t="shared" ca="1" si="13"/>
        <v>-2268</v>
      </c>
      <c r="N293">
        <f t="shared" si="14"/>
        <v>13455</v>
      </c>
      <c r="O29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17-TA1Rom-Lon22/7</v>
      </c>
    </row>
    <row r="294" spans="1:15" x14ac:dyDescent="0.3">
      <c r="A294" t="s">
        <v>0</v>
      </c>
      <c r="B294" t="s">
        <v>52</v>
      </c>
      <c r="C294" s="1">
        <v>42938</v>
      </c>
      <c r="D294" t="s">
        <v>82</v>
      </c>
      <c r="E294">
        <v>311</v>
      </c>
      <c r="F294">
        <f>IFERROR(VLOOKUP(E294,Margins!$A:$B,2,TRUE),"")</f>
        <v>0.25</v>
      </c>
      <c r="G294">
        <f t="shared" si="12"/>
        <v>23325</v>
      </c>
      <c r="H294" t="s">
        <v>66</v>
      </c>
      <c r="I294">
        <v>300</v>
      </c>
      <c r="J294">
        <f>IF(Table1[[#This Row],[Tickets Sold]]&gt;500,8,5)</f>
        <v>5</v>
      </c>
      <c r="K294">
        <v>258</v>
      </c>
      <c r="L294" t="str">
        <f>VLOOKUP(H294,Descriptions!A:B, 2, FALSE)</f>
        <v>Ticket + Air travel + Hotel Package</v>
      </c>
      <c r="M294">
        <f t="shared" ca="1" si="13"/>
        <v>-2268</v>
      </c>
      <c r="N294">
        <f t="shared" si="14"/>
        <v>20059.5</v>
      </c>
      <c r="O29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17-TA2Rom-Lon22/7</v>
      </c>
    </row>
    <row r="295" spans="1:15" x14ac:dyDescent="0.3">
      <c r="A295" t="s">
        <v>0</v>
      </c>
      <c r="B295" t="s">
        <v>52</v>
      </c>
      <c r="C295" s="1">
        <v>42943</v>
      </c>
      <c r="D295" t="s">
        <v>82</v>
      </c>
      <c r="E295">
        <v>62</v>
      </c>
      <c r="F295">
        <f>IFERROR(VLOOKUP(E295,Margins!$A:$B,2,TRUE),"")</f>
        <v>0.1</v>
      </c>
      <c r="G295">
        <f t="shared" si="12"/>
        <v>6844.8</v>
      </c>
      <c r="H295" t="s">
        <v>62</v>
      </c>
      <c r="I295">
        <v>1104</v>
      </c>
      <c r="J295">
        <f>IF(Table1[[#This Row],[Tickets Sold]]&gt;500,8,5)</f>
        <v>8</v>
      </c>
      <c r="K295">
        <v>751</v>
      </c>
      <c r="L295" t="str">
        <f>VLOOKUP(H295,Descriptions!A:B, 2, FALSE)</f>
        <v>Seating Cat. 1</v>
      </c>
      <c r="M295">
        <f t="shared" ca="1" si="13"/>
        <v>-2265</v>
      </c>
      <c r="N295">
        <f t="shared" si="14"/>
        <v>4656.2</v>
      </c>
      <c r="O29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17-SC1Rom-Lon27/7</v>
      </c>
    </row>
    <row r="296" spans="1:15" x14ac:dyDescent="0.3">
      <c r="A296" t="s">
        <v>0</v>
      </c>
      <c r="B296" t="s">
        <v>52</v>
      </c>
      <c r="C296" s="1">
        <v>42943</v>
      </c>
      <c r="D296" t="s">
        <v>82</v>
      </c>
      <c r="E296">
        <v>96</v>
      </c>
      <c r="F296">
        <f>IFERROR(VLOOKUP(E296,Margins!$A:$B,2,TRUE),"")</f>
        <v>0.1</v>
      </c>
      <c r="G296">
        <f t="shared" si="12"/>
        <v>3705.6000000000004</v>
      </c>
      <c r="H296" t="s">
        <v>63</v>
      </c>
      <c r="I296">
        <v>386</v>
      </c>
      <c r="J296">
        <f>IF(Table1[[#This Row],[Tickets Sold]]&gt;500,8,5)</f>
        <v>5</v>
      </c>
      <c r="K296">
        <v>263</v>
      </c>
      <c r="L296" t="str">
        <f>VLOOKUP(H296,Descriptions!A:B, 2, FALSE)</f>
        <v>Seating Cat. 2</v>
      </c>
      <c r="M296">
        <f t="shared" ca="1" si="13"/>
        <v>-2265</v>
      </c>
      <c r="N296">
        <f t="shared" si="14"/>
        <v>2524.8000000000002</v>
      </c>
      <c r="O29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17-SC2Rom-Lon27/7</v>
      </c>
    </row>
    <row r="297" spans="1:15" x14ac:dyDescent="0.3">
      <c r="A297" t="s">
        <v>0</v>
      </c>
      <c r="B297" t="s">
        <v>52</v>
      </c>
      <c r="C297" s="1">
        <v>42943</v>
      </c>
      <c r="D297" t="s">
        <v>82</v>
      </c>
      <c r="E297">
        <v>193</v>
      </c>
      <c r="F297">
        <f>IFERROR(VLOOKUP(E297,Margins!$A:$B,2,TRUE),"")</f>
        <v>0.15</v>
      </c>
      <c r="G297">
        <f t="shared" si="12"/>
        <v>6079.5</v>
      </c>
      <c r="H297" t="s">
        <v>64</v>
      </c>
      <c r="I297">
        <v>210</v>
      </c>
      <c r="J297">
        <f>IF(Table1[[#This Row],[Tickets Sold]]&gt;500,8,5)</f>
        <v>5</v>
      </c>
      <c r="K297">
        <v>179</v>
      </c>
      <c r="L297" t="str">
        <f>VLOOKUP(H297,Descriptions!A:B, 2, FALSE)</f>
        <v>Seating Cat. 3</v>
      </c>
      <c r="M297">
        <f t="shared" ca="1" si="13"/>
        <v>-2265</v>
      </c>
      <c r="N297">
        <f t="shared" si="14"/>
        <v>5182.05</v>
      </c>
      <c r="O29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17-SC3Rom-Lon27/7</v>
      </c>
    </row>
    <row r="298" spans="1:15" x14ac:dyDescent="0.3">
      <c r="A298" t="s">
        <v>0</v>
      </c>
      <c r="B298" t="s">
        <v>52</v>
      </c>
      <c r="C298" s="1">
        <v>42943</v>
      </c>
      <c r="D298" t="s">
        <v>82</v>
      </c>
      <c r="E298">
        <v>222</v>
      </c>
      <c r="F298">
        <f>IFERROR(VLOOKUP(E298,Margins!$A:$B,2,TRUE),"")</f>
        <v>0.25</v>
      </c>
      <c r="G298">
        <f t="shared" si="12"/>
        <v>22200</v>
      </c>
      <c r="H298" t="s">
        <v>65</v>
      </c>
      <c r="I298">
        <v>400</v>
      </c>
      <c r="J298">
        <f>IF(Table1[[#This Row],[Tickets Sold]]&gt;500,8,5)</f>
        <v>5</v>
      </c>
      <c r="K298">
        <v>352</v>
      </c>
      <c r="L298" t="str">
        <f>VLOOKUP(H298,Descriptions!A:B, 2, FALSE)</f>
        <v>Ticket + Air travel Package</v>
      </c>
      <c r="M298">
        <f t="shared" ca="1" si="13"/>
        <v>-2265</v>
      </c>
      <c r="N298">
        <f t="shared" si="14"/>
        <v>19536</v>
      </c>
      <c r="O29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17-TA1Rom-Lon27/7</v>
      </c>
    </row>
    <row r="299" spans="1:15" x14ac:dyDescent="0.3">
      <c r="A299" t="s">
        <v>0</v>
      </c>
      <c r="B299" t="s">
        <v>52</v>
      </c>
      <c r="C299" s="1">
        <v>42943</v>
      </c>
      <c r="D299" t="s">
        <v>82</v>
      </c>
      <c r="E299">
        <v>392</v>
      </c>
      <c r="F299">
        <f>IFERROR(VLOOKUP(E299,Margins!$A:$B,2,TRUE),"")</f>
        <v>0.25</v>
      </c>
      <c r="G299">
        <f t="shared" si="12"/>
        <v>29400</v>
      </c>
      <c r="H299" t="s">
        <v>66</v>
      </c>
      <c r="I299">
        <v>300</v>
      </c>
      <c r="J299">
        <f>IF(Table1[[#This Row],[Tickets Sold]]&gt;500,8,5)</f>
        <v>5</v>
      </c>
      <c r="K299">
        <v>207</v>
      </c>
      <c r="L299" t="str">
        <f>VLOOKUP(H299,Descriptions!A:B, 2, FALSE)</f>
        <v>Ticket + Air travel + Hotel Package</v>
      </c>
      <c r="M299">
        <f t="shared" ca="1" si="13"/>
        <v>-2265</v>
      </c>
      <c r="N299">
        <f t="shared" si="14"/>
        <v>20286</v>
      </c>
      <c r="O29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17-TA2Rom-Lon27/7</v>
      </c>
    </row>
    <row r="300" spans="1:15" x14ac:dyDescent="0.3">
      <c r="A300" t="s">
        <v>0</v>
      </c>
      <c r="B300" t="s">
        <v>51</v>
      </c>
      <c r="C300" s="1">
        <v>42975</v>
      </c>
      <c r="D300" t="s">
        <v>82</v>
      </c>
      <c r="E300">
        <v>54</v>
      </c>
      <c r="F300">
        <f>IFERROR(VLOOKUP(E300,Margins!$A:$B,2,TRUE),"")</f>
        <v>0.1</v>
      </c>
      <c r="G300">
        <f t="shared" si="12"/>
        <v>5259.6</v>
      </c>
      <c r="H300" t="s">
        <v>62</v>
      </c>
      <c r="I300">
        <v>974</v>
      </c>
      <c r="J300">
        <f>IF(Table1[[#This Row],[Tickets Sold]]&gt;500,8,5)</f>
        <v>8</v>
      </c>
      <c r="K300">
        <v>906</v>
      </c>
      <c r="L300" t="str">
        <f>VLOOKUP(H300,Descriptions!A:B, 2, FALSE)</f>
        <v>Seating Cat. 1</v>
      </c>
      <c r="M300">
        <f t="shared" ca="1" si="13"/>
        <v>-2242</v>
      </c>
      <c r="N300">
        <f t="shared" si="14"/>
        <v>4892.4000000000005</v>
      </c>
      <c r="O30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17-SC1Rom-Bar28/8</v>
      </c>
    </row>
    <row r="301" spans="1:15" x14ac:dyDescent="0.3">
      <c r="A301" t="s">
        <v>0</v>
      </c>
      <c r="B301" t="s">
        <v>51</v>
      </c>
      <c r="C301" s="1">
        <v>42975</v>
      </c>
      <c r="D301" t="s">
        <v>82</v>
      </c>
      <c r="E301">
        <v>94</v>
      </c>
      <c r="F301">
        <f>IFERROR(VLOOKUP(E301,Margins!$A:$B,2,TRUE),"")</f>
        <v>0.1</v>
      </c>
      <c r="G301">
        <f t="shared" si="12"/>
        <v>4653</v>
      </c>
      <c r="H301" t="s">
        <v>63</v>
      </c>
      <c r="I301">
        <v>495</v>
      </c>
      <c r="J301">
        <f>IF(Table1[[#This Row],[Tickets Sold]]&gt;500,8,5)</f>
        <v>5</v>
      </c>
      <c r="K301">
        <v>248</v>
      </c>
      <c r="L301" t="str">
        <f>VLOOKUP(H301,Descriptions!A:B, 2, FALSE)</f>
        <v>Seating Cat. 2</v>
      </c>
      <c r="M301">
        <f t="shared" ca="1" si="13"/>
        <v>-2242</v>
      </c>
      <c r="N301">
        <f t="shared" si="14"/>
        <v>2331.2000000000003</v>
      </c>
      <c r="O30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17-SC2Rom-Bar28/8</v>
      </c>
    </row>
    <row r="302" spans="1:15" x14ac:dyDescent="0.3">
      <c r="A302" t="s">
        <v>0</v>
      </c>
      <c r="B302" t="s">
        <v>51</v>
      </c>
      <c r="C302" s="1">
        <v>42975</v>
      </c>
      <c r="D302" t="s">
        <v>82</v>
      </c>
      <c r="E302">
        <v>300</v>
      </c>
      <c r="F302">
        <f>IFERROR(VLOOKUP(E302,Margins!$A:$B,2,TRUE),"")</f>
        <v>0.25</v>
      </c>
      <c r="G302">
        <f t="shared" si="12"/>
        <v>22500</v>
      </c>
      <c r="H302" t="s">
        <v>65</v>
      </c>
      <c r="I302">
        <v>300</v>
      </c>
      <c r="J302">
        <f>IF(Table1[[#This Row],[Tickets Sold]]&gt;500,8,5)</f>
        <v>5</v>
      </c>
      <c r="K302">
        <v>276</v>
      </c>
      <c r="L302" t="str">
        <f>VLOOKUP(H302,Descriptions!A:B, 2, FALSE)</f>
        <v>Ticket + Air travel Package</v>
      </c>
      <c r="M302">
        <f t="shared" ca="1" si="13"/>
        <v>-2242</v>
      </c>
      <c r="N302">
        <f t="shared" si="14"/>
        <v>20700</v>
      </c>
      <c r="O30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17-TA1Rom-Bar28/8</v>
      </c>
    </row>
    <row r="303" spans="1:15" x14ac:dyDescent="0.3">
      <c r="A303" t="s">
        <v>0</v>
      </c>
      <c r="B303" t="s">
        <v>51</v>
      </c>
      <c r="C303" s="1">
        <v>42975</v>
      </c>
      <c r="D303" t="s">
        <v>82</v>
      </c>
      <c r="E303">
        <v>358</v>
      </c>
      <c r="F303">
        <f>IFERROR(VLOOKUP(E303,Margins!$A:$B,2,TRUE),"")</f>
        <v>0.25</v>
      </c>
      <c r="G303">
        <f t="shared" si="12"/>
        <v>26850</v>
      </c>
      <c r="H303" t="s">
        <v>66</v>
      </c>
      <c r="I303">
        <v>300</v>
      </c>
      <c r="J303">
        <f>IF(Table1[[#This Row],[Tickets Sold]]&gt;500,8,5)</f>
        <v>5</v>
      </c>
      <c r="K303">
        <v>240</v>
      </c>
      <c r="L303" t="str">
        <f>VLOOKUP(H303,Descriptions!A:B, 2, FALSE)</f>
        <v>Ticket + Air travel + Hotel Package</v>
      </c>
      <c r="M303">
        <f t="shared" ca="1" si="13"/>
        <v>-2242</v>
      </c>
      <c r="N303">
        <f t="shared" si="14"/>
        <v>21480</v>
      </c>
      <c r="O30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17-TA2Rom-Bar28/8</v>
      </c>
    </row>
    <row r="304" spans="1:15" x14ac:dyDescent="0.3">
      <c r="A304" t="s">
        <v>1</v>
      </c>
      <c r="B304" t="s">
        <v>54</v>
      </c>
      <c r="C304" s="1">
        <v>42909</v>
      </c>
      <c r="D304" t="s">
        <v>79</v>
      </c>
      <c r="E304">
        <v>36</v>
      </c>
      <c r="F304">
        <f>IFERROR(VLOOKUP(E304,Margins!$A:$B,2,TRUE),"")</f>
        <v>7.0000000000000007E-2</v>
      </c>
      <c r="G304">
        <f t="shared" si="12"/>
        <v>26769.960000000006</v>
      </c>
      <c r="H304" t="s">
        <v>68</v>
      </c>
      <c r="I304">
        <v>10623</v>
      </c>
      <c r="J304">
        <f>IF(Table1[[#This Row],[Tickets Sold]]&gt;500,8,5)</f>
        <v>8</v>
      </c>
      <c r="K304">
        <v>9136</v>
      </c>
      <c r="L304" t="str">
        <f>VLOOKUP(H304,Descriptions!A:B, 2, FALSE)</f>
        <v>General Admission (1 day)</v>
      </c>
      <c r="M304">
        <f t="shared" ca="1" si="13"/>
        <v>-2289</v>
      </c>
      <c r="N304">
        <f t="shared" si="14"/>
        <v>23022.720000000005</v>
      </c>
      <c r="O30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17-GA1Sin-Ber23/6</v>
      </c>
    </row>
    <row r="305" spans="1:15" x14ac:dyDescent="0.3">
      <c r="A305" t="s">
        <v>1</v>
      </c>
      <c r="B305" t="s">
        <v>54</v>
      </c>
      <c r="C305" s="1">
        <v>42909</v>
      </c>
      <c r="D305" t="s">
        <v>79</v>
      </c>
      <c r="E305">
        <v>52</v>
      </c>
      <c r="F305">
        <f>IFERROR(VLOOKUP(E305,Margins!$A:$B,2,TRUE),"")</f>
        <v>0.1</v>
      </c>
      <c r="G305">
        <f t="shared" si="12"/>
        <v>9568</v>
      </c>
      <c r="H305" t="s">
        <v>62</v>
      </c>
      <c r="I305">
        <v>1840</v>
      </c>
      <c r="J305">
        <f>IF(Table1[[#This Row],[Tickets Sold]]&gt;500,8,5)</f>
        <v>8</v>
      </c>
      <c r="K305">
        <v>1546</v>
      </c>
      <c r="L305" t="str">
        <f>VLOOKUP(H305,Descriptions!A:B, 2, FALSE)</f>
        <v>Seating Cat. 1</v>
      </c>
      <c r="M305">
        <f t="shared" ca="1" si="13"/>
        <v>-2289</v>
      </c>
      <c r="N305">
        <f t="shared" si="14"/>
        <v>8039.2000000000007</v>
      </c>
      <c r="O30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17-SC1Sin-Ber23/6</v>
      </c>
    </row>
    <row r="306" spans="1:15" x14ac:dyDescent="0.3">
      <c r="A306" t="s">
        <v>1</v>
      </c>
      <c r="B306" t="s">
        <v>54</v>
      </c>
      <c r="C306" s="1">
        <v>42909</v>
      </c>
      <c r="D306" t="s">
        <v>79</v>
      </c>
      <c r="E306">
        <v>89</v>
      </c>
      <c r="F306">
        <f>IFERROR(VLOOKUP(E306,Margins!$A:$B,2,TRUE),"")</f>
        <v>0.1</v>
      </c>
      <c r="G306">
        <f t="shared" si="12"/>
        <v>5785</v>
      </c>
      <c r="H306" t="s">
        <v>63</v>
      </c>
      <c r="I306">
        <v>650</v>
      </c>
      <c r="J306">
        <f>IF(Table1[[#This Row],[Tickets Sold]]&gt;500,8,5)</f>
        <v>8</v>
      </c>
      <c r="K306">
        <v>540</v>
      </c>
      <c r="L306" t="str">
        <f>VLOOKUP(H306,Descriptions!A:B, 2, FALSE)</f>
        <v>Seating Cat. 2</v>
      </c>
      <c r="M306">
        <f t="shared" ca="1" si="13"/>
        <v>-2289</v>
      </c>
      <c r="N306">
        <f t="shared" si="14"/>
        <v>4806</v>
      </c>
      <c r="O30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17-SC2Sin-Ber23/6</v>
      </c>
    </row>
    <row r="307" spans="1:15" x14ac:dyDescent="0.3">
      <c r="A307" t="s">
        <v>1</v>
      </c>
      <c r="B307" t="s">
        <v>54</v>
      </c>
      <c r="C307" s="1">
        <v>42909</v>
      </c>
      <c r="D307" t="s">
        <v>79</v>
      </c>
      <c r="E307">
        <v>277</v>
      </c>
      <c r="F307">
        <f>IFERROR(VLOOKUP(E307,Margins!$A:$B,2,TRUE),"")</f>
        <v>0.25</v>
      </c>
      <c r="G307">
        <f t="shared" si="12"/>
        <v>13850</v>
      </c>
      <c r="H307" t="s">
        <v>65</v>
      </c>
      <c r="I307">
        <v>200</v>
      </c>
      <c r="J307">
        <f>IF(Table1[[#This Row],[Tickets Sold]]&gt;500,8,5)</f>
        <v>5</v>
      </c>
      <c r="K307">
        <v>128</v>
      </c>
      <c r="L307" t="str">
        <f>VLOOKUP(H307,Descriptions!A:B, 2, FALSE)</f>
        <v>Ticket + Air travel Package</v>
      </c>
      <c r="M307">
        <f t="shared" ca="1" si="13"/>
        <v>-2289</v>
      </c>
      <c r="N307">
        <f t="shared" si="14"/>
        <v>8864</v>
      </c>
      <c r="O30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17-TA1Sin-Ber23/6</v>
      </c>
    </row>
    <row r="308" spans="1:15" x14ac:dyDescent="0.3">
      <c r="A308" t="s">
        <v>1</v>
      </c>
      <c r="B308" t="s">
        <v>54</v>
      </c>
      <c r="C308" s="1">
        <v>42909</v>
      </c>
      <c r="D308" t="s">
        <v>79</v>
      </c>
      <c r="E308">
        <v>336</v>
      </c>
      <c r="F308">
        <f>IFERROR(VLOOKUP(E308,Margins!$A:$B,2,TRUE),"")</f>
        <v>0.25</v>
      </c>
      <c r="G308">
        <f t="shared" si="12"/>
        <v>33600</v>
      </c>
      <c r="H308" t="s">
        <v>66</v>
      </c>
      <c r="I308">
        <v>400</v>
      </c>
      <c r="J308">
        <f>IF(Table1[[#This Row],[Tickets Sold]]&gt;500,8,5)</f>
        <v>5</v>
      </c>
      <c r="K308">
        <v>296</v>
      </c>
      <c r="L308" t="str">
        <f>VLOOKUP(H308,Descriptions!A:B, 2, FALSE)</f>
        <v>Ticket + Air travel + Hotel Package</v>
      </c>
      <c r="M308">
        <f t="shared" ca="1" si="13"/>
        <v>-2289</v>
      </c>
      <c r="N308">
        <f t="shared" si="14"/>
        <v>24864</v>
      </c>
      <c r="O30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17-TA2Sin-Ber23/6</v>
      </c>
    </row>
    <row r="309" spans="1:15" x14ac:dyDescent="0.3">
      <c r="A309" t="s">
        <v>1</v>
      </c>
      <c r="B309" t="s">
        <v>47</v>
      </c>
      <c r="C309" s="1">
        <v>42922</v>
      </c>
      <c r="D309" t="s">
        <v>79</v>
      </c>
      <c r="E309">
        <v>54</v>
      </c>
      <c r="F309">
        <f>IFERROR(VLOOKUP(E309,Margins!$A:$B,2,TRUE),"")</f>
        <v>0.1</v>
      </c>
      <c r="G309">
        <f t="shared" si="12"/>
        <v>71155.8</v>
      </c>
      <c r="H309" t="s">
        <v>68</v>
      </c>
      <c r="I309">
        <v>13177</v>
      </c>
      <c r="J309">
        <f>IF(Table1[[#This Row],[Tickets Sold]]&gt;500,8,5)</f>
        <v>8</v>
      </c>
      <c r="K309">
        <v>12387</v>
      </c>
      <c r="L309" t="str">
        <f>VLOOKUP(H309,Descriptions!A:B, 2, FALSE)</f>
        <v>General Admission (1 day)</v>
      </c>
      <c r="M309">
        <f t="shared" ca="1" si="13"/>
        <v>-2280</v>
      </c>
      <c r="N309">
        <f t="shared" si="14"/>
        <v>66889.8</v>
      </c>
      <c r="O30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17-GA1Sin-Sto6/7</v>
      </c>
    </row>
    <row r="310" spans="1:15" x14ac:dyDescent="0.3">
      <c r="A310" t="s">
        <v>1</v>
      </c>
      <c r="B310" t="s">
        <v>47</v>
      </c>
      <c r="C310" s="1">
        <v>42922</v>
      </c>
      <c r="D310" t="s">
        <v>79</v>
      </c>
      <c r="E310">
        <v>78</v>
      </c>
      <c r="F310">
        <f>IFERROR(VLOOKUP(E310,Margins!$A:$B,2,TRUE),"")</f>
        <v>0.1</v>
      </c>
      <c r="G310">
        <f t="shared" si="12"/>
        <v>11700.000000000002</v>
      </c>
      <c r="H310" t="s">
        <v>62</v>
      </c>
      <c r="I310">
        <v>1500</v>
      </c>
      <c r="J310">
        <f>IF(Table1[[#This Row],[Tickets Sold]]&gt;500,8,5)</f>
        <v>8</v>
      </c>
      <c r="K310">
        <v>1110</v>
      </c>
      <c r="L310" t="str">
        <f>VLOOKUP(H310,Descriptions!A:B, 2, FALSE)</f>
        <v>Seating Cat. 1</v>
      </c>
      <c r="M310">
        <f t="shared" ca="1" si="13"/>
        <v>-2280</v>
      </c>
      <c r="N310">
        <f t="shared" si="14"/>
        <v>8658</v>
      </c>
      <c r="O31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17-SC1Sin-Sto6/7</v>
      </c>
    </row>
    <row r="311" spans="1:15" x14ac:dyDescent="0.3">
      <c r="A311" t="s">
        <v>1</v>
      </c>
      <c r="B311" t="s">
        <v>47</v>
      </c>
      <c r="C311" s="1">
        <v>42922</v>
      </c>
      <c r="D311" t="s">
        <v>79</v>
      </c>
      <c r="E311">
        <v>83</v>
      </c>
      <c r="F311">
        <f>IFERROR(VLOOKUP(E311,Margins!$A:$B,2,TRUE),"")</f>
        <v>0.1</v>
      </c>
      <c r="G311">
        <f t="shared" si="12"/>
        <v>5727.0000000000009</v>
      </c>
      <c r="H311" t="s">
        <v>63</v>
      </c>
      <c r="I311">
        <v>690</v>
      </c>
      <c r="J311">
        <f>IF(Table1[[#This Row],[Tickets Sold]]&gt;500,8,5)</f>
        <v>8</v>
      </c>
      <c r="K311">
        <v>594</v>
      </c>
      <c r="L311" t="str">
        <f>VLOOKUP(H311,Descriptions!A:B, 2, FALSE)</f>
        <v>Seating Cat. 2</v>
      </c>
      <c r="M311">
        <f t="shared" ca="1" si="13"/>
        <v>-2280</v>
      </c>
      <c r="N311">
        <f t="shared" si="14"/>
        <v>4930.2000000000007</v>
      </c>
      <c r="O31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17-SC2Sin-Sto6/7</v>
      </c>
    </row>
    <row r="312" spans="1:15" x14ac:dyDescent="0.3">
      <c r="A312" t="s">
        <v>1</v>
      </c>
      <c r="B312" t="s">
        <v>47</v>
      </c>
      <c r="C312" s="1">
        <v>42922</v>
      </c>
      <c r="D312" t="s">
        <v>79</v>
      </c>
      <c r="E312">
        <v>240</v>
      </c>
      <c r="F312">
        <f>IFERROR(VLOOKUP(E312,Margins!$A:$B,2,TRUE),"")</f>
        <v>0.25</v>
      </c>
      <c r="G312">
        <f t="shared" si="12"/>
        <v>18000</v>
      </c>
      <c r="H312" t="s">
        <v>65</v>
      </c>
      <c r="I312">
        <v>300</v>
      </c>
      <c r="J312">
        <f>IF(Table1[[#This Row],[Tickets Sold]]&gt;500,8,5)</f>
        <v>5</v>
      </c>
      <c r="K312">
        <v>252</v>
      </c>
      <c r="L312" t="str">
        <f>VLOOKUP(H312,Descriptions!A:B, 2, FALSE)</f>
        <v>Ticket + Air travel Package</v>
      </c>
      <c r="M312">
        <f t="shared" ca="1" si="13"/>
        <v>-2280</v>
      </c>
      <c r="N312">
        <f t="shared" si="14"/>
        <v>15120</v>
      </c>
      <c r="O31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17-TA1Sin-Sto6/7</v>
      </c>
    </row>
    <row r="313" spans="1:15" x14ac:dyDescent="0.3">
      <c r="A313" t="s">
        <v>1</v>
      </c>
      <c r="B313" t="s">
        <v>47</v>
      </c>
      <c r="C313" s="1">
        <v>42922</v>
      </c>
      <c r="D313" t="s">
        <v>79</v>
      </c>
      <c r="E313">
        <v>331</v>
      </c>
      <c r="F313">
        <f>IFERROR(VLOOKUP(E313,Margins!$A:$B,2,TRUE),"")</f>
        <v>0.25</v>
      </c>
      <c r="G313">
        <f t="shared" si="12"/>
        <v>24825</v>
      </c>
      <c r="H313" t="s">
        <v>66</v>
      </c>
      <c r="I313">
        <v>300</v>
      </c>
      <c r="J313">
        <f>IF(Table1[[#This Row],[Tickets Sold]]&gt;500,8,5)</f>
        <v>5</v>
      </c>
      <c r="K313">
        <v>279</v>
      </c>
      <c r="L313" t="str">
        <f>VLOOKUP(H313,Descriptions!A:B, 2, FALSE)</f>
        <v>Ticket + Air travel + Hotel Package</v>
      </c>
      <c r="M313">
        <f t="shared" ca="1" si="13"/>
        <v>-2280</v>
      </c>
      <c r="N313">
        <f t="shared" si="14"/>
        <v>23087.25</v>
      </c>
      <c r="O31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17-TA2Sin-Sto6/7</v>
      </c>
    </row>
    <row r="314" spans="1:15" x14ac:dyDescent="0.3">
      <c r="A314" t="s">
        <v>1</v>
      </c>
      <c r="B314" t="s">
        <v>2</v>
      </c>
      <c r="C314" s="1">
        <v>42926</v>
      </c>
      <c r="D314" t="s">
        <v>79</v>
      </c>
      <c r="E314">
        <v>41</v>
      </c>
      <c r="F314">
        <f>IFERROR(VLOOKUP(E314,Margins!$A:$B,2,TRUE),"")</f>
        <v>7.0000000000000007E-2</v>
      </c>
      <c r="G314">
        <f t="shared" si="12"/>
        <v>19625.060000000001</v>
      </c>
      <c r="H314" t="s">
        <v>68</v>
      </c>
      <c r="I314">
        <v>6838</v>
      </c>
      <c r="J314">
        <f>IF(Table1[[#This Row],[Tickets Sold]]&gt;500,8,5)</f>
        <v>8</v>
      </c>
      <c r="K314">
        <v>6086</v>
      </c>
      <c r="L314" t="str">
        <f>VLOOKUP(H314,Descriptions!A:B, 2, FALSE)</f>
        <v>General Admission (1 day)</v>
      </c>
      <c r="M314">
        <f t="shared" ca="1" si="13"/>
        <v>-2277</v>
      </c>
      <c r="N314">
        <f t="shared" si="14"/>
        <v>17466.82</v>
      </c>
      <c r="O31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17-GA1Sin-Vie10/7</v>
      </c>
    </row>
    <row r="315" spans="1:15" x14ac:dyDescent="0.3">
      <c r="A315" t="s">
        <v>1</v>
      </c>
      <c r="B315" t="s">
        <v>2</v>
      </c>
      <c r="C315" s="1">
        <v>42926</v>
      </c>
      <c r="D315" t="s">
        <v>79</v>
      </c>
      <c r="E315">
        <v>70</v>
      </c>
      <c r="F315">
        <f>IFERROR(VLOOKUP(E315,Margins!$A:$B,2,TRUE),"")</f>
        <v>0.1</v>
      </c>
      <c r="G315">
        <f t="shared" si="12"/>
        <v>4760</v>
      </c>
      <c r="H315" t="s">
        <v>62</v>
      </c>
      <c r="I315">
        <v>680</v>
      </c>
      <c r="J315">
        <f>IF(Table1[[#This Row],[Tickets Sold]]&gt;500,8,5)</f>
        <v>5</v>
      </c>
      <c r="K315">
        <v>470</v>
      </c>
      <c r="L315" t="str">
        <f>VLOOKUP(H315,Descriptions!A:B, 2, FALSE)</f>
        <v>Seating Cat. 1</v>
      </c>
      <c r="M315">
        <f t="shared" ca="1" si="13"/>
        <v>-2277</v>
      </c>
      <c r="N315">
        <f t="shared" si="14"/>
        <v>3290</v>
      </c>
      <c r="O31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17-SC1Sin-Vie10/7</v>
      </c>
    </row>
    <row r="316" spans="1:15" x14ac:dyDescent="0.3">
      <c r="A316" t="s">
        <v>1</v>
      </c>
      <c r="B316" t="s">
        <v>2</v>
      </c>
      <c r="C316" s="1">
        <v>42926</v>
      </c>
      <c r="D316" t="s">
        <v>79</v>
      </c>
      <c r="E316">
        <v>76</v>
      </c>
      <c r="F316">
        <f>IFERROR(VLOOKUP(E316,Margins!$A:$B,2,TRUE),"")</f>
        <v>0.1</v>
      </c>
      <c r="G316">
        <f t="shared" si="12"/>
        <v>2660</v>
      </c>
      <c r="H316" t="s">
        <v>63</v>
      </c>
      <c r="I316">
        <v>350</v>
      </c>
      <c r="J316">
        <f>IF(Table1[[#This Row],[Tickets Sold]]&gt;500,8,5)</f>
        <v>5</v>
      </c>
      <c r="K316">
        <v>315</v>
      </c>
      <c r="L316" t="str">
        <f>VLOOKUP(H316,Descriptions!A:B, 2, FALSE)</f>
        <v>Seating Cat. 2</v>
      </c>
      <c r="M316">
        <f t="shared" ca="1" si="13"/>
        <v>-2277</v>
      </c>
      <c r="N316">
        <f t="shared" si="14"/>
        <v>2394</v>
      </c>
      <c r="O31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17-SC2Sin-Vie10/7</v>
      </c>
    </row>
    <row r="317" spans="1:15" x14ac:dyDescent="0.3">
      <c r="A317" t="s">
        <v>1</v>
      </c>
      <c r="B317" t="s">
        <v>2</v>
      </c>
      <c r="C317" s="1">
        <v>42926</v>
      </c>
      <c r="D317" t="s">
        <v>79</v>
      </c>
      <c r="E317">
        <v>273</v>
      </c>
      <c r="F317">
        <f>IFERROR(VLOOKUP(E317,Margins!$A:$B,2,TRUE),"")</f>
        <v>0.25</v>
      </c>
      <c r="G317">
        <f t="shared" si="12"/>
        <v>20475</v>
      </c>
      <c r="H317" t="s">
        <v>65</v>
      </c>
      <c r="I317">
        <v>300</v>
      </c>
      <c r="J317">
        <f>IF(Table1[[#This Row],[Tickets Sold]]&gt;500,8,5)</f>
        <v>5</v>
      </c>
      <c r="K317">
        <v>264</v>
      </c>
      <c r="L317" t="str">
        <f>VLOOKUP(H317,Descriptions!A:B, 2, FALSE)</f>
        <v>Ticket + Air travel Package</v>
      </c>
      <c r="M317">
        <f t="shared" ca="1" si="13"/>
        <v>-2277</v>
      </c>
      <c r="N317">
        <f t="shared" si="14"/>
        <v>18018</v>
      </c>
      <c r="O31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17-TA1Sin-Vie10/7</v>
      </c>
    </row>
    <row r="318" spans="1:15" x14ac:dyDescent="0.3">
      <c r="A318" t="s">
        <v>1</v>
      </c>
      <c r="B318" t="s">
        <v>2</v>
      </c>
      <c r="C318" s="1">
        <v>42926</v>
      </c>
      <c r="D318" t="s">
        <v>79</v>
      </c>
      <c r="E318">
        <v>375</v>
      </c>
      <c r="F318">
        <f>IFERROR(VLOOKUP(E318,Margins!$A:$B,2,TRUE),"")</f>
        <v>0.25</v>
      </c>
      <c r="G318">
        <f t="shared" si="12"/>
        <v>18750</v>
      </c>
      <c r="H318" t="s">
        <v>66</v>
      </c>
      <c r="I318">
        <v>200</v>
      </c>
      <c r="J318">
        <f>IF(Table1[[#This Row],[Tickets Sold]]&gt;500,8,5)</f>
        <v>5</v>
      </c>
      <c r="K318">
        <v>146</v>
      </c>
      <c r="L318" t="str">
        <f>VLOOKUP(H318,Descriptions!A:B, 2, FALSE)</f>
        <v>Ticket + Air travel + Hotel Package</v>
      </c>
      <c r="M318">
        <f t="shared" ca="1" si="13"/>
        <v>-2277</v>
      </c>
      <c r="N318">
        <f t="shared" si="14"/>
        <v>13687.5</v>
      </c>
      <c r="O31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17-TA2Sin-Vie10/7</v>
      </c>
    </row>
    <row r="319" spans="1:15" x14ac:dyDescent="0.3">
      <c r="A319" t="s">
        <v>1</v>
      </c>
      <c r="B319" t="s">
        <v>48</v>
      </c>
      <c r="C319" s="1">
        <v>42937</v>
      </c>
      <c r="D319" t="s">
        <v>79</v>
      </c>
      <c r="E319">
        <v>52</v>
      </c>
      <c r="F319">
        <f>IFERROR(VLOOKUP(E319,Margins!$A:$B,2,TRUE),"")</f>
        <v>0.1</v>
      </c>
      <c r="G319">
        <f t="shared" si="12"/>
        <v>37055.200000000004</v>
      </c>
      <c r="H319" t="s">
        <v>68</v>
      </c>
      <c r="I319">
        <v>7126</v>
      </c>
      <c r="J319">
        <f>IF(Table1[[#This Row],[Tickets Sold]]&gt;500,8,5)</f>
        <v>8</v>
      </c>
      <c r="K319">
        <v>4419</v>
      </c>
      <c r="L319" t="str">
        <f>VLOOKUP(H319,Descriptions!A:B, 2, FALSE)</f>
        <v>General Admission (1 day)</v>
      </c>
      <c r="M319">
        <f t="shared" ca="1" si="13"/>
        <v>-2269</v>
      </c>
      <c r="N319">
        <f t="shared" si="14"/>
        <v>22978.799999999999</v>
      </c>
      <c r="O31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17-GA1Sin-Par21/7</v>
      </c>
    </row>
    <row r="320" spans="1:15" x14ac:dyDescent="0.3">
      <c r="A320" t="s">
        <v>1</v>
      </c>
      <c r="B320" t="s">
        <v>48</v>
      </c>
      <c r="C320" s="1">
        <v>42937</v>
      </c>
      <c r="D320" t="s">
        <v>79</v>
      </c>
      <c r="E320">
        <v>40</v>
      </c>
      <c r="F320">
        <f>IFERROR(VLOOKUP(E320,Margins!$A:$B,2,TRUE),"")</f>
        <v>7.0000000000000007E-2</v>
      </c>
      <c r="G320">
        <f t="shared" si="12"/>
        <v>4200</v>
      </c>
      <c r="H320" t="s">
        <v>62</v>
      </c>
      <c r="I320">
        <v>1500</v>
      </c>
      <c r="J320">
        <f>IF(Table1[[#This Row],[Tickets Sold]]&gt;500,8,5)</f>
        <v>8</v>
      </c>
      <c r="K320">
        <v>1185</v>
      </c>
      <c r="L320" t="str">
        <f>VLOOKUP(H320,Descriptions!A:B, 2, FALSE)</f>
        <v>Seating Cat. 1</v>
      </c>
      <c r="M320">
        <f t="shared" ca="1" si="13"/>
        <v>-2269</v>
      </c>
      <c r="N320">
        <f t="shared" si="14"/>
        <v>3318.0000000000005</v>
      </c>
      <c r="O32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17-SC1Sin-Par21/7</v>
      </c>
    </row>
    <row r="321" spans="1:15" x14ac:dyDescent="0.3">
      <c r="A321" t="s">
        <v>1</v>
      </c>
      <c r="B321" t="s">
        <v>48</v>
      </c>
      <c r="C321" s="1">
        <v>42937</v>
      </c>
      <c r="D321" t="s">
        <v>79</v>
      </c>
      <c r="E321">
        <v>115</v>
      </c>
      <c r="F321">
        <f>IFERROR(VLOOKUP(E321,Margins!$A:$B,2,TRUE),"")</f>
        <v>0.15</v>
      </c>
      <c r="G321">
        <f t="shared" si="12"/>
        <v>8625</v>
      </c>
      <c r="H321" t="s">
        <v>63</v>
      </c>
      <c r="I321">
        <v>500</v>
      </c>
      <c r="J321">
        <f>IF(Table1[[#This Row],[Tickets Sold]]&gt;500,8,5)</f>
        <v>5</v>
      </c>
      <c r="K321">
        <v>475</v>
      </c>
      <c r="L321" t="str">
        <f>VLOOKUP(H321,Descriptions!A:B, 2, FALSE)</f>
        <v>Seating Cat. 2</v>
      </c>
      <c r="M321">
        <f t="shared" ca="1" si="13"/>
        <v>-2269</v>
      </c>
      <c r="N321">
        <f t="shared" si="14"/>
        <v>8193.75</v>
      </c>
      <c r="O32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17-SC2Sin-Par21/7</v>
      </c>
    </row>
    <row r="322" spans="1:15" x14ac:dyDescent="0.3">
      <c r="A322" t="s">
        <v>1</v>
      </c>
      <c r="B322" t="s">
        <v>48</v>
      </c>
      <c r="C322" s="1">
        <v>42937</v>
      </c>
      <c r="D322" t="s">
        <v>79</v>
      </c>
      <c r="E322">
        <v>240</v>
      </c>
      <c r="F322">
        <f>IFERROR(VLOOKUP(E322,Margins!$A:$B,2,TRUE),"")</f>
        <v>0.25</v>
      </c>
      <c r="G322">
        <f t="shared" ref="G322:G385" si="15">IFERROR(E322*F322*I322,"")</f>
        <v>18000</v>
      </c>
      <c r="H322" t="s">
        <v>65</v>
      </c>
      <c r="I322">
        <v>300</v>
      </c>
      <c r="J322">
        <f>IF(Table1[[#This Row],[Tickets Sold]]&gt;500,8,5)</f>
        <v>5</v>
      </c>
      <c r="K322">
        <v>186</v>
      </c>
      <c r="L322" t="str">
        <f>VLOOKUP(H322,Descriptions!A:B, 2, FALSE)</f>
        <v>Ticket + Air travel Package</v>
      </c>
      <c r="M322">
        <f t="shared" ref="M322:M385" ca="1" si="16">NETWORKDAYS(TODAY(), C322-1)</f>
        <v>-2269</v>
      </c>
      <c r="N322">
        <f t="shared" si="14"/>
        <v>11160</v>
      </c>
      <c r="O32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17-TA1Sin-Par21/7</v>
      </c>
    </row>
    <row r="323" spans="1:15" x14ac:dyDescent="0.3">
      <c r="A323" t="s">
        <v>1</v>
      </c>
      <c r="B323" t="s">
        <v>48</v>
      </c>
      <c r="C323" s="1">
        <v>42937</v>
      </c>
      <c r="D323" t="s">
        <v>79</v>
      </c>
      <c r="E323">
        <v>367</v>
      </c>
      <c r="F323">
        <f>IFERROR(VLOOKUP(E323,Margins!$A:$B,2,TRUE),"")</f>
        <v>0.25</v>
      </c>
      <c r="G323">
        <f t="shared" si="15"/>
        <v>27525</v>
      </c>
      <c r="H323" t="s">
        <v>66</v>
      </c>
      <c r="I323">
        <v>300</v>
      </c>
      <c r="J323">
        <f>IF(Table1[[#This Row],[Tickets Sold]]&gt;500,8,5)</f>
        <v>5</v>
      </c>
      <c r="K323">
        <v>246</v>
      </c>
      <c r="L323" t="str">
        <f>VLOOKUP(H323,Descriptions!A:B, 2, FALSE)</f>
        <v>Ticket + Air travel + Hotel Package</v>
      </c>
      <c r="M323">
        <f t="shared" ca="1" si="16"/>
        <v>-2269</v>
      </c>
      <c r="N323">
        <f t="shared" ref="N323:N386" si="17">E323*F323*K323</f>
        <v>22570.5</v>
      </c>
      <c r="O32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17-TA2Sin-Par21/7</v>
      </c>
    </row>
    <row r="324" spans="1:15" x14ac:dyDescent="0.3">
      <c r="A324" t="s">
        <v>1</v>
      </c>
      <c r="B324" t="s">
        <v>51</v>
      </c>
      <c r="C324" s="1">
        <v>42974</v>
      </c>
      <c r="D324" t="s">
        <v>79</v>
      </c>
      <c r="E324">
        <v>48</v>
      </c>
      <c r="F324">
        <f>IFERROR(VLOOKUP(E324,Margins!$A:$B,2,TRUE),"")</f>
        <v>7.0000000000000007E-2</v>
      </c>
      <c r="G324">
        <f t="shared" si="15"/>
        <v>34151.040000000001</v>
      </c>
      <c r="H324" t="s">
        <v>68</v>
      </c>
      <c r="I324">
        <v>10164</v>
      </c>
      <c r="J324">
        <f>IF(Table1[[#This Row],[Tickets Sold]]&gt;500,8,5)</f>
        <v>8</v>
      </c>
      <c r="K324">
        <v>6810</v>
      </c>
      <c r="L324" t="str">
        <f>VLOOKUP(H324,Descriptions!A:B, 2, FALSE)</f>
        <v>General Admission (1 day)</v>
      </c>
      <c r="M324">
        <f t="shared" ca="1" si="16"/>
        <v>-2242</v>
      </c>
      <c r="N324">
        <f t="shared" si="17"/>
        <v>22881.600000000002</v>
      </c>
      <c r="O32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17-GA1Sin-Bar27/8</v>
      </c>
    </row>
    <row r="325" spans="1:15" x14ac:dyDescent="0.3">
      <c r="A325" t="s">
        <v>1</v>
      </c>
      <c r="B325" t="s">
        <v>51</v>
      </c>
      <c r="C325" s="1">
        <v>42974</v>
      </c>
      <c r="D325" t="s">
        <v>79</v>
      </c>
      <c r="E325">
        <v>45</v>
      </c>
      <c r="F325">
        <f>IFERROR(VLOOKUP(E325,Margins!$A:$B,2,TRUE),"")</f>
        <v>7.0000000000000007E-2</v>
      </c>
      <c r="G325">
        <f t="shared" si="15"/>
        <v>2394.0000000000005</v>
      </c>
      <c r="H325" t="s">
        <v>62</v>
      </c>
      <c r="I325">
        <v>760</v>
      </c>
      <c r="J325">
        <f>IF(Table1[[#This Row],[Tickets Sold]]&gt;500,8,5)</f>
        <v>5</v>
      </c>
      <c r="K325">
        <v>487</v>
      </c>
      <c r="L325" t="str">
        <f>VLOOKUP(H325,Descriptions!A:B, 2, FALSE)</f>
        <v>Seating Cat. 1</v>
      </c>
      <c r="M325">
        <f t="shared" ca="1" si="16"/>
        <v>-2242</v>
      </c>
      <c r="N325">
        <f t="shared" si="17"/>
        <v>1534.0500000000002</v>
      </c>
      <c r="O32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17-SC1Sin-Bar27/8</v>
      </c>
    </row>
    <row r="326" spans="1:15" x14ac:dyDescent="0.3">
      <c r="A326" t="s">
        <v>1</v>
      </c>
      <c r="B326" t="s">
        <v>51</v>
      </c>
      <c r="C326" s="1">
        <v>42974</v>
      </c>
      <c r="D326" t="s">
        <v>79</v>
      </c>
      <c r="E326">
        <v>85</v>
      </c>
      <c r="F326">
        <f>IFERROR(VLOOKUP(E326,Margins!$A:$B,2,TRUE),"")</f>
        <v>0.1</v>
      </c>
      <c r="G326">
        <f t="shared" si="15"/>
        <v>4250</v>
      </c>
      <c r="H326" t="s">
        <v>63</v>
      </c>
      <c r="I326">
        <v>500</v>
      </c>
      <c r="J326">
        <f>IF(Table1[[#This Row],[Tickets Sold]]&gt;500,8,5)</f>
        <v>5</v>
      </c>
      <c r="K326">
        <v>415</v>
      </c>
      <c r="L326" t="str">
        <f>VLOOKUP(H326,Descriptions!A:B, 2, FALSE)</f>
        <v>Seating Cat. 2</v>
      </c>
      <c r="M326">
        <f t="shared" ca="1" si="16"/>
        <v>-2242</v>
      </c>
      <c r="N326">
        <f t="shared" si="17"/>
        <v>3527.5</v>
      </c>
      <c r="O32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17-SC2Sin-Bar27/8</v>
      </c>
    </row>
    <row r="327" spans="1:15" x14ac:dyDescent="0.3">
      <c r="A327" t="s">
        <v>1</v>
      </c>
      <c r="B327" t="s">
        <v>51</v>
      </c>
      <c r="C327" s="1">
        <v>42974</v>
      </c>
      <c r="D327" t="s">
        <v>79</v>
      </c>
      <c r="E327">
        <v>271</v>
      </c>
      <c r="F327">
        <f>IFERROR(VLOOKUP(E327,Margins!$A:$B,2,TRUE),"")</f>
        <v>0.25</v>
      </c>
      <c r="G327">
        <f t="shared" si="15"/>
        <v>13550</v>
      </c>
      <c r="H327" t="s">
        <v>65</v>
      </c>
      <c r="I327">
        <v>200</v>
      </c>
      <c r="J327">
        <f>IF(Table1[[#This Row],[Tickets Sold]]&gt;500,8,5)</f>
        <v>5</v>
      </c>
      <c r="K327">
        <v>104</v>
      </c>
      <c r="L327" t="str">
        <f>VLOOKUP(H327,Descriptions!A:B, 2, FALSE)</f>
        <v>Ticket + Air travel Package</v>
      </c>
      <c r="M327">
        <f t="shared" ca="1" si="16"/>
        <v>-2242</v>
      </c>
      <c r="N327">
        <f t="shared" si="17"/>
        <v>7046</v>
      </c>
      <c r="O32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17-TA1Sin-Bar27/8</v>
      </c>
    </row>
    <row r="328" spans="1:15" x14ac:dyDescent="0.3">
      <c r="A328" t="s">
        <v>1</v>
      </c>
      <c r="B328" t="s">
        <v>51</v>
      </c>
      <c r="C328" s="1">
        <v>42974</v>
      </c>
      <c r="D328" t="s">
        <v>79</v>
      </c>
      <c r="E328">
        <v>330</v>
      </c>
      <c r="F328">
        <f>IFERROR(VLOOKUP(E328,Margins!$A:$B,2,TRUE),"")</f>
        <v>0.25</v>
      </c>
      <c r="G328">
        <f t="shared" si="15"/>
        <v>24750</v>
      </c>
      <c r="H328" t="s">
        <v>66</v>
      </c>
      <c r="I328">
        <v>300</v>
      </c>
      <c r="J328">
        <f>IF(Table1[[#This Row],[Tickets Sold]]&gt;500,8,5)</f>
        <v>5</v>
      </c>
      <c r="K328">
        <v>168</v>
      </c>
      <c r="L328" t="str">
        <f>VLOOKUP(H328,Descriptions!A:B, 2, FALSE)</f>
        <v>Ticket + Air travel + Hotel Package</v>
      </c>
      <c r="M328">
        <f t="shared" ca="1" si="16"/>
        <v>-2242</v>
      </c>
      <c r="N328">
        <f t="shared" si="17"/>
        <v>13860</v>
      </c>
      <c r="O32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17-TA2Sin-Bar27/8</v>
      </c>
    </row>
    <row r="329" spans="1:15" x14ac:dyDescent="0.3">
      <c r="A329" t="s">
        <v>13</v>
      </c>
      <c r="B329" t="s">
        <v>54</v>
      </c>
      <c r="C329" s="1">
        <v>42914</v>
      </c>
      <c r="D329" t="s">
        <v>29</v>
      </c>
      <c r="E329">
        <v>41</v>
      </c>
      <c r="F329">
        <f>IFERROR(VLOOKUP(E329,Margins!$A:$B,2,TRUE),"")</f>
        <v>7.0000000000000007E-2</v>
      </c>
      <c r="G329">
        <f t="shared" si="15"/>
        <v>215250</v>
      </c>
      <c r="H329" t="s">
        <v>68</v>
      </c>
      <c r="I329">
        <v>75000</v>
      </c>
      <c r="J329">
        <f>IF(Table1[[#This Row],[Tickets Sold]]&gt;500,8,5)</f>
        <v>8</v>
      </c>
      <c r="K329">
        <v>51750</v>
      </c>
      <c r="L329" t="str">
        <f>VLOOKUP(H329,Descriptions!A:B, 2, FALSE)</f>
        <v>General Admission (1 day)</v>
      </c>
      <c r="M329">
        <f t="shared" ca="1" si="16"/>
        <v>-2286</v>
      </c>
      <c r="N329">
        <f t="shared" si="17"/>
        <v>148522.5</v>
      </c>
      <c r="O32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17-GA1Sou-Ber28/6</v>
      </c>
    </row>
    <row r="330" spans="1:15" x14ac:dyDescent="0.3">
      <c r="A330" t="s">
        <v>13</v>
      </c>
      <c r="B330" t="s">
        <v>54</v>
      </c>
      <c r="C330" s="1">
        <v>42914</v>
      </c>
      <c r="D330" t="s">
        <v>29</v>
      </c>
      <c r="E330">
        <v>78</v>
      </c>
      <c r="F330">
        <f>IFERROR(VLOOKUP(E330,Margins!$A:$B,2,TRUE),"")</f>
        <v>0.1</v>
      </c>
      <c r="G330">
        <f t="shared" si="15"/>
        <v>27300.000000000004</v>
      </c>
      <c r="H330" t="s">
        <v>62</v>
      </c>
      <c r="I330">
        <v>3500</v>
      </c>
      <c r="J330">
        <f>IF(Table1[[#This Row],[Tickets Sold]]&gt;500,8,5)</f>
        <v>8</v>
      </c>
      <c r="K330">
        <v>3045</v>
      </c>
      <c r="L330" t="str">
        <f>VLOOKUP(H330,Descriptions!A:B, 2, FALSE)</f>
        <v>Seating Cat. 1</v>
      </c>
      <c r="M330">
        <f t="shared" ca="1" si="16"/>
        <v>-2286</v>
      </c>
      <c r="N330">
        <f t="shared" si="17"/>
        <v>23751.000000000004</v>
      </c>
      <c r="O33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17-SC1Sou-Ber28/6</v>
      </c>
    </row>
    <row r="331" spans="1:15" x14ac:dyDescent="0.3">
      <c r="A331" t="s">
        <v>13</v>
      </c>
      <c r="B331" t="s">
        <v>54</v>
      </c>
      <c r="C331" s="1">
        <v>42914</v>
      </c>
      <c r="D331" t="s">
        <v>29</v>
      </c>
      <c r="E331">
        <v>59</v>
      </c>
      <c r="F331">
        <f>IFERROR(VLOOKUP(E331,Margins!$A:$B,2,TRUE),"")</f>
        <v>0.1</v>
      </c>
      <c r="G331">
        <f t="shared" si="15"/>
        <v>8850</v>
      </c>
      <c r="H331" t="s">
        <v>63</v>
      </c>
      <c r="I331">
        <v>1500</v>
      </c>
      <c r="J331">
        <f>IF(Table1[[#This Row],[Tickets Sold]]&gt;500,8,5)</f>
        <v>8</v>
      </c>
      <c r="K331">
        <v>1410</v>
      </c>
      <c r="L331" t="str">
        <f>VLOOKUP(H331,Descriptions!A:B, 2, FALSE)</f>
        <v>Seating Cat. 2</v>
      </c>
      <c r="M331">
        <f t="shared" ca="1" si="16"/>
        <v>-2286</v>
      </c>
      <c r="N331">
        <f t="shared" si="17"/>
        <v>8319</v>
      </c>
      <c r="O33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17-SC2Sou-Ber28/6</v>
      </c>
    </row>
    <row r="332" spans="1:15" x14ac:dyDescent="0.3">
      <c r="A332" t="s">
        <v>13</v>
      </c>
      <c r="B332" t="s">
        <v>54</v>
      </c>
      <c r="C332" s="1">
        <v>42914</v>
      </c>
      <c r="D332" t="s">
        <v>29</v>
      </c>
      <c r="E332">
        <v>78</v>
      </c>
      <c r="F332">
        <f>IFERROR(VLOOKUP(E332,Margins!$A:$B,2,TRUE),"")</f>
        <v>0.1</v>
      </c>
      <c r="G332">
        <f t="shared" si="15"/>
        <v>3900.0000000000005</v>
      </c>
      <c r="H332" t="s">
        <v>64</v>
      </c>
      <c r="I332">
        <v>500</v>
      </c>
      <c r="J332">
        <f>IF(Table1[[#This Row],[Tickets Sold]]&gt;500,8,5)</f>
        <v>5</v>
      </c>
      <c r="K332">
        <v>255</v>
      </c>
      <c r="L332" t="str">
        <f>VLOOKUP(H332,Descriptions!A:B, 2, FALSE)</f>
        <v>Seating Cat. 3</v>
      </c>
      <c r="M332">
        <f t="shared" ca="1" si="16"/>
        <v>-2286</v>
      </c>
      <c r="N332">
        <f t="shared" si="17"/>
        <v>1989.0000000000002</v>
      </c>
      <c r="O33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17-SC3Sou-Ber28/6</v>
      </c>
    </row>
    <row r="333" spans="1:15" x14ac:dyDescent="0.3">
      <c r="A333" t="s">
        <v>13</v>
      </c>
      <c r="B333" t="s">
        <v>54</v>
      </c>
      <c r="C333" s="1">
        <v>42914</v>
      </c>
      <c r="D333" t="s">
        <v>29</v>
      </c>
      <c r="E333">
        <v>182</v>
      </c>
      <c r="F333">
        <f>IFERROR(VLOOKUP(E333,Margins!$A:$B,2,TRUE),"")</f>
        <v>0.15</v>
      </c>
      <c r="G333">
        <f t="shared" si="15"/>
        <v>8190</v>
      </c>
      <c r="H333" t="s">
        <v>65</v>
      </c>
      <c r="I333">
        <v>300</v>
      </c>
      <c r="J333">
        <f>IF(Table1[[#This Row],[Tickets Sold]]&gt;500,8,5)</f>
        <v>5</v>
      </c>
      <c r="K333">
        <v>201</v>
      </c>
      <c r="L333" t="str">
        <f>VLOOKUP(H333,Descriptions!A:B, 2, FALSE)</f>
        <v>Ticket + Air travel Package</v>
      </c>
      <c r="M333">
        <f t="shared" ca="1" si="16"/>
        <v>-2286</v>
      </c>
      <c r="N333">
        <f t="shared" si="17"/>
        <v>5487.3</v>
      </c>
      <c r="O33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17-TA1Sou-Ber28/6</v>
      </c>
    </row>
    <row r="334" spans="1:15" x14ac:dyDescent="0.3">
      <c r="A334" t="s">
        <v>13</v>
      </c>
      <c r="B334" t="s">
        <v>54</v>
      </c>
      <c r="C334" s="1">
        <v>42914</v>
      </c>
      <c r="D334" t="s">
        <v>29</v>
      </c>
      <c r="E334">
        <v>23</v>
      </c>
      <c r="F334">
        <f>IFERROR(VLOOKUP(E334,Margins!$A:$B,2,TRUE),"")</f>
        <v>7.0000000000000007E-2</v>
      </c>
      <c r="G334">
        <f t="shared" si="15"/>
        <v>177.10000000000002</v>
      </c>
      <c r="H334" t="s">
        <v>67</v>
      </c>
      <c r="I334">
        <v>110</v>
      </c>
      <c r="J334">
        <f>IF(Table1[[#This Row],[Tickets Sold]]&gt;500,8,5)</f>
        <v>5</v>
      </c>
      <c r="K334">
        <v>93</v>
      </c>
      <c r="L334" t="str">
        <f>VLOOKUP(H334,Descriptions!A:B, 2, FALSE)</f>
        <v>Seating-disabled</v>
      </c>
      <c r="M334">
        <f t="shared" ca="1" si="16"/>
        <v>-2286</v>
      </c>
      <c r="N334">
        <f t="shared" si="17"/>
        <v>149.73000000000002</v>
      </c>
      <c r="O33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17-SCDSou-Ber28/6</v>
      </c>
    </row>
    <row r="335" spans="1:15" x14ac:dyDescent="0.3">
      <c r="A335" t="s">
        <v>13</v>
      </c>
      <c r="B335" t="s">
        <v>54</v>
      </c>
      <c r="C335" s="1">
        <v>42914</v>
      </c>
      <c r="D335" t="s">
        <v>29</v>
      </c>
      <c r="E335">
        <v>377</v>
      </c>
      <c r="F335">
        <f>IFERROR(VLOOKUP(E335,Margins!$A:$B,2,TRUE),"")</f>
        <v>0.25</v>
      </c>
      <c r="G335">
        <f t="shared" si="15"/>
        <v>18850</v>
      </c>
      <c r="H335" t="s">
        <v>66</v>
      </c>
      <c r="I335">
        <v>200</v>
      </c>
      <c r="J335">
        <f>IF(Table1[[#This Row],[Tickets Sold]]&gt;500,8,5)</f>
        <v>5</v>
      </c>
      <c r="K335">
        <v>118</v>
      </c>
      <c r="L335" t="str">
        <f>VLOOKUP(H335,Descriptions!A:B, 2, FALSE)</f>
        <v>Ticket + Air travel + Hotel Package</v>
      </c>
      <c r="M335">
        <f t="shared" ca="1" si="16"/>
        <v>-2286</v>
      </c>
      <c r="N335">
        <f t="shared" si="17"/>
        <v>11121.5</v>
      </c>
      <c r="O33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17-TA2Sou-Ber28/6</v>
      </c>
    </row>
    <row r="336" spans="1:15" x14ac:dyDescent="0.3">
      <c r="A336" t="s">
        <v>13</v>
      </c>
      <c r="B336" t="s">
        <v>54</v>
      </c>
      <c r="C336" s="1">
        <v>42921</v>
      </c>
      <c r="D336" t="s">
        <v>29</v>
      </c>
      <c r="E336">
        <v>47</v>
      </c>
      <c r="F336">
        <f>IFERROR(VLOOKUP(E336,Margins!$A:$B,2,TRUE),"")</f>
        <v>7.0000000000000007E-2</v>
      </c>
      <c r="G336">
        <f t="shared" si="15"/>
        <v>246750.00000000003</v>
      </c>
      <c r="H336" t="s">
        <v>68</v>
      </c>
      <c r="I336">
        <v>75000</v>
      </c>
      <c r="J336">
        <f>IF(Table1[[#This Row],[Tickets Sold]]&gt;500,8,5)</f>
        <v>8</v>
      </c>
      <c r="K336">
        <v>66000</v>
      </c>
      <c r="L336" t="str">
        <f>VLOOKUP(H336,Descriptions!A:B, 2, FALSE)</f>
        <v>General Admission (1 day)</v>
      </c>
      <c r="M336">
        <f t="shared" ca="1" si="16"/>
        <v>-2281</v>
      </c>
      <c r="N336">
        <f t="shared" si="17"/>
        <v>217140.00000000003</v>
      </c>
      <c r="O33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17-GA1Sou-Ber5/7</v>
      </c>
    </row>
    <row r="337" spans="1:15" x14ac:dyDescent="0.3">
      <c r="A337" t="s">
        <v>13</v>
      </c>
      <c r="B337" t="s">
        <v>54</v>
      </c>
      <c r="C337" s="1">
        <v>42921</v>
      </c>
      <c r="D337" t="s">
        <v>29</v>
      </c>
      <c r="E337">
        <v>73</v>
      </c>
      <c r="F337">
        <f>IFERROR(VLOOKUP(E337,Margins!$A:$B,2,TRUE),"")</f>
        <v>0.1</v>
      </c>
      <c r="G337">
        <f t="shared" si="15"/>
        <v>26280.000000000004</v>
      </c>
      <c r="H337" t="s">
        <v>62</v>
      </c>
      <c r="I337">
        <v>3600</v>
      </c>
      <c r="J337">
        <f>IF(Table1[[#This Row],[Tickets Sold]]&gt;500,8,5)</f>
        <v>8</v>
      </c>
      <c r="K337">
        <v>2268</v>
      </c>
      <c r="L337" t="str">
        <f>VLOOKUP(H337,Descriptions!A:B, 2, FALSE)</f>
        <v>Seating Cat. 1</v>
      </c>
      <c r="M337">
        <f t="shared" ca="1" si="16"/>
        <v>-2281</v>
      </c>
      <c r="N337">
        <f t="shared" si="17"/>
        <v>16556.400000000001</v>
      </c>
      <c r="O33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17-SC1Sou-Ber5/7</v>
      </c>
    </row>
    <row r="338" spans="1:15" x14ac:dyDescent="0.3">
      <c r="A338" t="s">
        <v>13</v>
      </c>
      <c r="B338" t="s">
        <v>54</v>
      </c>
      <c r="C338" s="1">
        <v>42921</v>
      </c>
      <c r="D338" t="s">
        <v>29</v>
      </c>
      <c r="E338">
        <v>79</v>
      </c>
      <c r="F338">
        <f>IFERROR(VLOOKUP(E338,Margins!$A:$B,2,TRUE),"")</f>
        <v>0.1</v>
      </c>
      <c r="G338">
        <f t="shared" si="15"/>
        <v>11060</v>
      </c>
      <c r="H338" t="s">
        <v>63</v>
      </c>
      <c r="I338">
        <v>1400</v>
      </c>
      <c r="J338">
        <f>IF(Table1[[#This Row],[Tickets Sold]]&gt;500,8,5)</f>
        <v>8</v>
      </c>
      <c r="K338">
        <v>1148</v>
      </c>
      <c r="L338" t="str">
        <f>VLOOKUP(H338,Descriptions!A:B, 2, FALSE)</f>
        <v>Seating Cat. 2</v>
      </c>
      <c r="M338">
        <f t="shared" ca="1" si="16"/>
        <v>-2281</v>
      </c>
      <c r="N338">
        <f t="shared" si="17"/>
        <v>9069.2000000000007</v>
      </c>
      <c r="O33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17-SC2Sou-Ber5/7</v>
      </c>
    </row>
    <row r="339" spans="1:15" x14ac:dyDescent="0.3">
      <c r="A339" t="s">
        <v>13</v>
      </c>
      <c r="B339" t="s">
        <v>54</v>
      </c>
      <c r="C339" s="1">
        <v>42921</v>
      </c>
      <c r="D339" t="s">
        <v>29</v>
      </c>
      <c r="E339">
        <v>196</v>
      </c>
      <c r="F339">
        <f>IFERROR(VLOOKUP(E339,Margins!$A:$B,2,TRUE),"")</f>
        <v>0.15</v>
      </c>
      <c r="G339">
        <f t="shared" si="15"/>
        <v>8820</v>
      </c>
      <c r="H339" t="s">
        <v>65</v>
      </c>
      <c r="I339">
        <v>300</v>
      </c>
      <c r="J339">
        <f>IF(Table1[[#This Row],[Tickets Sold]]&gt;500,8,5)</f>
        <v>5</v>
      </c>
      <c r="K339">
        <v>282</v>
      </c>
      <c r="L339" t="str">
        <f>VLOOKUP(H339,Descriptions!A:B, 2, FALSE)</f>
        <v>Ticket + Air travel Package</v>
      </c>
      <c r="M339">
        <f t="shared" ca="1" si="16"/>
        <v>-2281</v>
      </c>
      <c r="N339">
        <f t="shared" si="17"/>
        <v>8290.7999999999993</v>
      </c>
      <c r="O33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17-TA1Sou-Ber5/7</v>
      </c>
    </row>
    <row r="340" spans="1:15" x14ac:dyDescent="0.3">
      <c r="A340" t="s">
        <v>13</v>
      </c>
      <c r="B340" t="s">
        <v>54</v>
      </c>
      <c r="C340" s="1">
        <v>42921</v>
      </c>
      <c r="D340" t="s">
        <v>29</v>
      </c>
      <c r="E340">
        <v>20</v>
      </c>
      <c r="F340">
        <f>IFERROR(VLOOKUP(E340,Margins!$A:$B,2,TRUE),"")</f>
        <v>7.0000000000000007E-2</v>
      </c>
      <c r="G340">
        <f t="shared" si="15"/>
        <v>113.4</v>
      </c>
      <c r="H340" t="s">
        <v>67</v>
      </c>
      <c r="I340">
        <v>81</v>
      </c>
      <c r="J340">
        <f>IF(Table1[[#This Row],[Tickets Sold]]&gt;500,8,5)</f>
        <v>5</v>
      </c>
      <c r="K340">
        <v>46</v>
      </c>
      <c r="L340" t="str">
        <f>VLOOKUP(H340,Descriptions!A:B, 2, FALSE)</f>
        <v>Seating-disabled</v>
      </c>
      <c r="M340">
        <f t="shared" ca="1" si="16"/>
        <v>-2281</v>
      </c>
      <c r="N340">
        <f t="shared" si="17"/>
        <v>64.400000000000006</v>
      </c>
      <c r="O34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17-SCDSou-Ber5/7</v>
      </c>
    </row>
    <row r="341" spans="1:15" x14ac:dyDescent="0.3">
      <c r="A341" t="s">
        <v>13</v>
      </c>
      <c r="B341" t="s">
        <v>54</v>
      </c>
      <c r="C341" s="1">
        <v>42921</v>
      </c>
      <c r="D341" t="s">
        <v>29</v>
      </c>
      <c r="E341">
        <v>94</v>
      </c>
      <c r="F341">
        <f>IFERROR(VLOOKUP(E341,Margins!$A:$B,2,TRUE),"")</f>
        <v>0.1</v>
      </c>
      <c r="G341">
        <f t="shared" si="15"/>
        <v>470000</v>
      </c>
      <c r="H341" t="s">
        <v>69</v>
      </c>
      <c r="I341">
        <v>50000</v>
      </c>
      <c r="J341">
        <f>IF(Table1[[#This Row],[Tickets Sold]]&gt;500,8,5)</f>
        <v>8</v>
      </c>
      <c r="K341">
        <v>28000</v>
      </c>
      <c r="L341" t="str">
        <f>VLOOKUP(H341,Descriptions!A:B, 2, FALSE)</f>
        <v>General Admission (2 days)</v>
      </c>
      <c r="M341">
        <f t="shared" ca="1" si="16"/>
        <v>-2281</v>
      </c>
      <c r="N341">
        <f t="shared" si="17"/>
        <v>263200</v>
      </c>
      <c r="O34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17-GA2Sou-Ber5/7</v>
      </c>
    </row>
    <row r="342" spans="1:15" x14ac:dyDescent="0.3">
      <c r="A342" t="s">
        <v>13</v>
      </c>
      <c r="B342" t="s">
        <v>54</v>
      </c>
      <c r="C342" s="1">
        <v>42921</v>
      </c>
      <c r="D342" t="s">
        <v>29</v>
      </c>
      <c r="E342">
        <v>334</v>
      </c>
      <c r="F342">
        <f>IFERROR(VLOOKUP(E342,Margins!$A:$B,2,TRUE),"")</f>
        <v>0.25</v>
      </c>
      <c r="G342">
        <f t="shared" si="15"/>
        <v>16700</v>
      </c>
      <c r="H342" t="s">
        <v>66</v>
      </c>
      <c r="I342">
        <v>200</v>
      </c>
      <c r="J342">
        <f>IF(Table1[[#This Row],[Tickets Sold]]&gt;500,8,5)</f>
        <v>5</v>
      </c>
      <c r="K342">
        <v>132</v>
      </c>
      <c r="L342" t="str">
        <f>VLOOKUP(H342,Descriptions!A:B, 2, FALSE)</f>
        <v>Ticket + Air travel + Hotel Package</v>
      </c>
      <c r="M342">
        <f t="shared" ca="1" si="16"/>
        <v>-2281</v>
      </c>
      <c r="N342">
        <f t="shared" si="17"/>
        <v>11022</v>
      </c>
      <c r="O34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17-TA2Sou-Ber5/7</v>
      </c>
    </row>
    <row r="343" spans="1:15" x14ac:dyDescent="0.3">
      <c r="A343" t="s">
        <v>13</v>
      </c>
      <c r="B343" t="s">
        <v>54</v>
      </c>
      <c r="C343" s="1">
        <v>42929</v>
      </c>
      <c r="D343" t="s">
        <v>29</v>
      </c>
      <c r="E343">
        <v>47</v>
      </c>
      <c r="F343">
        <f>IFERROR(VLOOKUP(E343,Margins!$A:$B,2,TRUE),"")</f>
        <v>7.0000000000000007E-2</v>
      </c>
      <c r="G343">
        <f t="shared" si="15"/>
        <v>164500.00000000003</v>
      </c>
      <c r="H343" t="s">
        <v>68</v>
      </c>
      <c r="I343">
        <v>50000</v>
      </c>
      <c r="J343">
        <f>IF(Table1[[#This Row],[Tickets Sold]]&gt;500,8,5)</f>
        <v>8</v>
      </c>
      <c r="K343">
        <v>39000</v>
      </c>
      <c r="L343" t="str">
        <f>VLOOKUP(H343,Descriptions!A:B, 2, FALSE)</f>
        <v>General Admission (1 day)</v>
      </c>
      <c r="M343">
        <f t="shared" ca="1" si="16"/>
        <v>-2275</v>
      </c>
      <c r="N343">
        <f t="shared" si="17"/>
        <v>128310.00000000001</v>
      </c>
      <c r="O34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17-GA1Sou-Ber13/7</v>
      </c>
    </row>
    <row r="344" spans="1:15" x14ac:dyDescent="0.3">
      <c r="A344" t="s">
        <v>13</v>
      </c>
      <c r="B344" t="s">
        <v>54</v>
      </c>
      <c r="C344" s="1">
        <v>42929</v>
      </c>
      <c r="D344" t="s">
        <v>29</v>
      </c>
      <c r="E344">
        <v>51</v>
      </c>
      <c r="F344">
        <f>IFERROR(VLOOKUP(E344,Margins!$A:$B,2,TRUE),"")</f>
        <v>0.1</v>
      </c>
      <c r="G344">
        <f t="shared" si="15"/>
        <v>22950.000000000004</v>
      </c>
      <c r="H344" t="s">
        <v>62</v>
      </c>
      <c r="I344">
        <v>4500</v>
      </c>
      <c r="J344">
        <f>IF(Table1[[#This Row],[Tickets Sold]]&gt;500,8,5)</f>
        <v>8</v>
      </c>
      <c r="K344">
        <v>4230</v>
      </c>
      <c r="L344" t="str">
        <f>VLOOKUP(H344,Descriptions!A:B, 2, FALSE)</f>
        <v>Seating Cat. 1</v>
      </c>
      <c r="M344">
        <f t="shared" ca="1" si="16"/>
        <v>-2275</v>
      </c>
      <c r="N344">
        <f t="shared" si="17"/>
        <v>21573.000000000004</v>
      </c>
      <c r="O34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17-SC1Sou-Ber13/7</v>
      </c>
    </row>
    <row r="345" spans="1:15" x14ac:dyDescent="0.3">
      <c r="A345" t="s">
        <v>13</v>
      </c>
      <c r="B345" t="s">
        <v>54</v>
      </c>
      <c r="C345" s="1">
        <v>42929</v>
      </c>
      <c r="D345" t="s">
        <v>29</v>
      </c>
      <c r="E345">
        <v>117</v>
      </c>
      <c r="F345">
        <f>IFERROR(VLOOKUP(E345,Margins!$A:$B,2,TRUE),"")</f>
        <v>0.15</v>
      </c>
      <c r="G345">
        <f t="shared" si="15"/>
        <v>7020</v>
      </c>
      <c r="H345" t="s">
        <v>63</v>
      </c>
      <c r="I345">
        <v>400</v>
      </c>
      <c r="J345">
        <f>IF(Table1[[#This Row],[Tickets Sold]]&gt;500,8,5)</f>
        <v>5</v>
      </c>
      <c r="K345">
        <v>352</v>
      </c>
      <c r="L345" t="str">
        <f>VLOOKUP(H345,Descriptions!A:B, 2, FALSE)</f>
        <v>Seating Cat. 2</v>
      </c>
      <c r="M345">
        <f t="shared" ca="1" si="16"/>
        <v>-2275</v>
      </c>
      <c r="N345">
        <f t="shared" si="17"/>
        <v>6177.6</v>
      </c>
      <c r="O34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17-SC2Sou-Ber13/7</v>
      </c>
    </row>
    <row r="346" spans="1:15" x14ac:dyDescent="0.3">
      <c r="A346" t="s">
        <v>13</v>
      </c>
      <c r="B346" t="s">
        <v>54</v>
      </c>
      <c r="C346" s="1">
        <v>42929</v>
      </c>
      <c r="D346" t="s">
        <v>29</v>
      </c>
      <c r="E346">
        <v>265</v>
      </c>
      <c r="F346">
        <f>IFERROR(VLOOKUP(E346,Margins!$A:$B,2,TRUE),"")</f>
        <v>0.25</v>
      </c>
      <c r="G346">
        <f t="shared" si="15"/>
        <v>19875</v>
      </c>
      <c r="H346" t="s">
        <v>65</v>
      </c>
      <c r="I346">
        <v>300</v>
      </c>
      <c r="J346">
        <f>IF(Table1[[#This Row],[Tickets Sold]]&gt;500,8,5)</f>
        <v>5</v>
      </c>
      <c r="K346">
        <v>192</v>
      </c>
      <c r="L346" t="str">
        <f>VLOOKUP(H346,Descriptions!A:B, 2, FALSE)</f>
        <v>Ticket + Air travel Package</v>
      </c>
      <c r="M346">
        <f t="shared" ca="1" si="16"/>
        <v>-2275</v>
      </c>
      <c r="N346">
        <f t="shared" si="17"/>
        <v>12720</v>
      </c>
      <c r="O34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17-TA1Sou-Ber13/7</v>
      </c>
    </row>
    <row r="347" spans="1:15" x14ac:dyDescent="0.3">
      <c r="A347" t="s">
        <v>13</v>
      </c>
      <c r="B347" t="s">
        <v>54</v>
      </c>
      <c r="C347" s="1">
        <v>42929</v>
      </c>
      <c r="D347" t="s">
        <v>29</v>
      </c>
      <c r="E347">
        <v>24</v>
      </c>
      <c r="F347">
        <f>IFERROR(VLOOKUP(E347,Margins!$A:$B,2,TRUE),"")</f>
        <v>7.0000000000000007E-2</v>
      </c>
      <c r="G347">
        <f t="shared" si="15"/>
        <v>179.76000000000002</v>
      </c>
      <c r="H347" t="s">
        <v>67</v>
      </c>
      <c r="I347">
        <v>107</v>
      </c>
      <c r="J347">
        <f>IF(Table1[[#This Row],[Tickets Sold]]&gt;500,8,5)</f>
        <v>5</v>
      </c>
      <c r="K347">
        <v>61</v>
      </c>
      <c r="L347" t="str">
        <f>VLOOKUP(H347,Descriptions!A:B, 2, FALSE)</f>
        <v>Seating-disabled</v>
      </c>
      <c r="M347">
        <f t="shared" ca="1" si="16"/>
        <v>-2275</v>
      </c>
      <c r="N347">
        <f t="shared" si="17"/>
        <v>102.48</v>
      </c>
      <c r="O34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17-SCDSou-Ber13/7</v>
      </c>
    </row>
    <row r="348" spans="1:15" x14ac:dyDescent="0.3">
      <c r="A348" t="s">
        <v>13</v>
      </c>
      <c r="B348" t="s">
        <v>54</v>
      </c>
      <c r="C348" s="1">
        <v>42929</v>
      </c>
      <c r="D348" t="s">
        <v>29</v>
      </c>
      <c r="E348">
        <v>340</v>
      </c>
      <c r="F348">
        <f>IFERROR(VLOOKUP(E348,Margins!$A:$B,2,TRUE),"")</f>
        <v>0.25</v>
      </c>
      <c r="G348">
        <f t="shared" si="15"/>
        <v>25500</v>
      </c>
      <c r="H348" t="s">
        <v>66</v>
      </c>
      <c r="I348">
        <v>300</v>
      </c>
      <c r="J348">
        <f>IF(Table1[[#This Row],[Tickets Sold]]&gt;500,8,5)</f>
        <v>5</v>
      </c>
      <c r="K348">
        <v>189</v>
      </c>
      <c r="L348" t="str">
        <f>VLOOKUP(H348,Descriptions!A:B, 2, FALSE)</f>
        <v>Ticket + Air travel + Hotel Package</v>
      </c>
      <c r="M348">
        <f t="shared" ca="1" si="16"/>
        <v>-2275</v>
      </c>
      <c r="N348">
        <f t="shared" si="17"/>
        <v>16065</v>
      </c>
      <c r="O34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17-TA2Sou-Ber13/7</v>
      </c>
    </row>
    <row r="349" spans="1:15" x14ac:dyDescent="0.3">
      <c r="A349" t="s">
        <v>13</v>
      </c>
      <c r="B349" t="s">
        <v>54</v>
      </c>
      <c r="C349" s="1">
        <v>42930</v>
      </c>
      <c r="D349" t="s">
        <v>29</v>
      </c>
      <c r="E349">
        <v>47</v>
      </c>
      <c r="F349">
        <f>IFERROR(VLOOKUP(E349,Margins!$A:$B,2,TRUE),"")</f>
        <v>7.0000000000000007E-2</v>
      </c>
      <c r="G349">
        <f t="shared" si="15"/>
        <v>164500.00000000003</v>
      </c>
      <c r="H349" t="s">
        <v>68</v>
      </c>
      <c r="I349">
        <v>50000</v>
      </c>
      <c r="J349">
        <f>IF(Table1[[#This Row],[Tickets Sold]]&gt;500,8,5)</f>
        <v>8</v>
      </c>
      <c r="K349">
        <v>44500</v>
      </c>
      <c r="L349" t="str">
        <f>VLOOKUP(H349,Descriptions!A:B, 2, FALSE)</f>
        <v>General Admission (1 day)</v>
      </c>
      <c r="M349">
        <f t="shared" ca="1" si="16"/>
        <v>-2274</v>
      </c>
      <c r="N349">
        <f t="shared" si="17"/>
        <v>146405.00000000003</v>
      </c>
      <c r="O34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17-GA1Sou-Ber14/7</v>
      </c>
    </row>
    <row r="350" spans="1:15" x14ac:dyDescent="0.3">
      <c r="A350" t="s">
        <v>13</v>
      </c>
      <c r="B350" t="s">
        <v>54</v>
      </c>
      <c r="C350" s="1">
        <v>42930</v>
      </c>
      <c r="D350" t="s">
        <v>29</v>
      </c>
      <c r="E350">
        <v>61</v>
      </c>
      <c r="F350">
        <f>IFERROR(VLOOKUP(E350,Margins!$A:$B,2,TRUE),"")</f>
        <v>0.1</v>
      </c>
      <c r="G350">
        <f t="shared" si="15"/>
        <v>27450.000000000004</v>
      </c>
      <c r="H350" t="s">
        <v>62</v>
      </c>
      <c r="I350">
        <v>4500</v>
      </c>
      <c r="J350">
        <f>IF(Table1[[#This Row],[Tickets Sold]]&gt;500,8,5)</f>
        <v>8</v>
      </c>
      <c r="K350">
        <v>3690</v>
      </c>
      <c r="L350" t="str">
        <f>VLOOKUP(H350,Descriptions!A:B, 2, FALSE)</f>
        <v>Seating Cat. 1</v>
      </c>
      <c r="M350">
        <f t="shared" ca="1" si="16"/>
        <v>-2274</v>
      </c>
      <c r="N350">
        <f t="shared" si="17"/>
        <v>22509.000000000004</v>
      </c>
      <c r="O35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17-SC1Sou-Ber14/7</v>
      </c>
    </row>
    <row r="351" spans="1:15" x14ac:dyDescent="0.3">
      <c r="A351" t="s">
        <v>13</v>
      </c>
      <c r="B351" t="s">
        <v>54</v>
      </c>
      <c r="C351" s="1">
        <v>42930</v>
      </c>
      <c r="D351" t="s">
        <v>29</v>
      </c>
      <c r="E351">
        <v>89</v>
      </c>
      <c r="F351">
        <f>IFERROR(VLOOKUP(E351,Margins!$A:$B,2,TRUE),"")</f>
        <v>0.1</v>
      </c>
      <c r="G351">
        <f t="shared" si="15"/>
        <v>3560</v>
      </c>
      <c r="H351" t="s">
        <v>63</v>
      </c>
      <c r="I351">
        <v>400</v>
      </c>
      <c r="J351">
        <f>IF(Table1[[#This Row],[Tickets Sold]]&gt;500,8,5)</f>
        <v>5</v>
      </c>
      <c r="K351">
        <v>216</v>
      </c>
      <c r="L351" t="str">
        <f>VLOOKUP(H351,Descriptions!A:B, 2, FALSE)</f>
        <v>Seating Cat. 2</v>
      </c>
      <c r="M351">
        <f t="shared" ca="1" si="16"/>
        <v>-2274</v>
      </c>
      <c r="N351">
        <f t="shared" si="17"/>
        <v>1922.4</v>
      </c>
      <c r="O35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17-SC2Sou-Ber14/7</v>
      </c>
    </row>
    <row r="352" spans="1:15" x14ac:dyDescent="0.3">
      <c r="A352" t="s">
        <v>13</v>
      </c>
      <c r="B352" t="s">
        <v>54</v>
      </c>
      <c r="C352" s="1">
        <v>42930</v>
      </c>
      <c r="D352" t="s">
        <v>29</v>
      </c>
      <c r="E352">
        <v>247</v>
      </c>
      <c r="F352">
        <f>IFERROR(VLOOKUP(E352,Margins!$A:$B,2,TRUE),"")</f>
        <v>0.25</v>
      </c>
      <c r="G352">
        <f t="shared" si="15"/>
        <v>12350</v>
      </c>
      <c r="H352" t="s">
        <v>65</v>
      </c>
      <c r="I352">
        <v>200</v>
      </c>
      <c r="J352">
        <f>IF(Table1[[#This Row],[Tickets Sold]]&gt;500,8,5)</f>
        <v>5</v>
      </c>
      <c r="K352">
        <v>156</v>
      </c>
      <c r="L352" t="str">
        <f>VLOOKUP(H352,Descriptions!A:B, 2, FALSE)</f>
        <v>Ticket + Air travel Package</v>
      </c>
      <c r="M352">
        <f t="shared" ca="1" si="16"/>
        <v>-2274</v>
      </c>
      <c r="N352">
        <f t="shared" si="17"/>
        <v>9633</v>
      </c>
      <c r="O35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17-TA1Sou-Ber14/7</v>
      </c>
    </row>
    <row r="353" spans="1:15" x14ac:dyDescent="0.3">
      <c r="A353" t="s">
        <v>13</v>
      </c>
      <c r="B353" t="s">
        <v>54</v>
      </c>
      <c r="C353" s="1">
        <v>42930</v>
      </c>
      <c r="D353" t="s">
        <v>29</v>
      </c>
      <c r="E353">
        <v>29</v>
      </c>
      <c r="F353">
        <f>IFERROR(VLOOKUP(E353,Margins!$A:$B,2,TRUE),"")</f>
        <v>7.0000000000000007E-2</v>
      </c>
      <c r="G353">
        <f t="shared" si="15"/>
        <v>180.67000000000002</v>
      </c>
      <c r="H353" t="s">
        <v>67</v>
      </c>
      <c r="I353">
        <v>89</v>
      </c>
      <c r="J353">
        <f>IF(Table1[[#This Row],[Tickets Sold]]&gt;500,8,5)</f>
        <v>5</v>
      </c>
      <c r="K353">
        <v>65</v>
      </c>
      <c r="L353" t="str">
        <f>VLOOKUP(H353,Descriptions!A:B, 2, FALSE)</f>
        <v>Seating-disabled</v>
      </c>
      <c r="M353">
        <f t="shared" ca="1" si="16"/>
        <v>-2274</v>
      </c>
      <c r="N353">
        <f t="shared" si="17"/>
        <v>131.95000000000002</v>
      </c>
      <c r="O35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17-SCDSou-Ber14/7</v>
      </c>
    </row>
    <row r="354" spans="1:15" x14ac:dyDescent="0.3">
      <c r="A354" t="s">
        <v>13</v>
      </c>
      <c r="B354" t="s">
        <v>54</v>
      </c>
      <c r="C354" s="1">
        <v>42930</v>
      </c>
      <c r="D354" t="s">
        <v>29</v>
      </c>
      <c r="E354">
        <v>371</v>
      </c>
      <c r="F354">
        <f>IFERROR(VLOOKUP(E354,Margins!$A:$B,2,TRUE),"")</f>
        <v>0.25</v>
      </c>
      <c r="G354">
        <f t="shared" si="15"/>
        <v>27825</v>
      </c>
      <c r="H354" t="s">
        <v>66</v>
      </c>
      <c r="I354">
        <v>300</v>
      </c>
      <c r="J354">
        <f>IF(Table1[[#This Row],[Tickets Sold]]&gt;500,8,5)</f>
        <v>5</v>
      </c>
      <c r="K354">
        <v>183</v>
      </c>
      <c r="L354" t="str">
        <f>VLOOKUP(H354,Descriptions!A:B, 2, FALSE)</f>
        <v>Ticket + Air travel + Hotel Package</v>
      </c>
      <c r="M354">
        <f t="shared" ca="1" si="16"/>
        <v>-2274</v>
      </c>
      <c r="N354">
        <f t="shared" si="17"/>
        <v>16973.25</v>
      </c>
      <c r="O35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17-TA2Sou-Ber14/7</v>
      </c>
    </row>
    <row r="355" spans="1:15" x14ac:dyDescent="0.3">
      <c r="A355" t="s">
        <v>13</v>
      </c>
      <c r="B355" t="s">
        <v>54</v>
      </c>
      <c r="C355" s="1">
        <v>42941</v>
      </c>
      <c r="D355" t="s">
        <v>29</v>
      </c>
      <c r="E355">
        <v>47</v>
      </c>
      <c r="F355">
        <f>IFERROR(VLOOKUP(E355,Margins!$A:$B,2,TRUE),"")</f>
        <v>7.0000000000000007E-2</v>
      </c>
      <c r="G355">
        <f t="shared" si="15"/>
        <v>164500.00000000003</v>
      </c>
      <c r="H355" t="s">
        <v>68</v>
      </c>
      <c r="I355">
        <v>50000</v>
      </c>
      <c r="J355">
        <f>IF(Table1[[#This Row],[Tickets Sold]]&gt;500,8,5)</f>
        <v>8</v>
      </c>
      <c r="K355">
        <v>43000</v>
      </c>
      <c r="L355" t="str">
        <f>VLOOKUP(H355,Descriptions!A:B, 2, FALSE)</f>
        <v>General Admission (1 day)</v>
      </c>
      <c r="M355">
        <f t="shared" ca="1" si="16"/>
        <v>-2267</v>
      </c>
      <c r="N355">
        <f t="shared" si="17"/>
        <v>141470.00000000003</v>
      </c>
      <c r="O35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17-GA1Sou-Ber25/7</v>
      </c>
    </row>
    <row r="356" spans="1:15" x14ac:dyDescent="0.3">
      <c r="A356" t="s">
        <v>13</v>
      </c>
      <c r="B356" t="s">
        <v>54</v>
      </c>
      <c r="C356" s="1">
        <v>42941</v>
      </c>
      <c r="D356" t="s">
        <v>29</v>
      </c>
      <c r="E356">
        <v>34</v>
      </c>
      <c r="F356">
        <f>IFERROR(VLOOKUP(E356,Margins!$A:$B,2,TRUE),"")</f>
        <v>7.0000000000000007E-2</v>
      </c>
      <c r="G356">
        <f t="shared" si="15"/>
        <v>10710.000000000002</v>
      </c>
      <c r="H356" t="s">
        <v>62</v>
      </c>
      <c r="I356">
        <v>4500</v>
      </c>
      <c r="J356">
        <f>IF(Table1[[#This Row],[Tickets Sold]]&gt;500,8,5)</f>
        <v>8</v>
      </c>
      <c r="K356">
        <v>3105</v>
      </c>
      <c r="L356" t="str">
        <f>VLOOKUP(H356,Descriptions!A:B, 2, FALSE)</f>
        <v>Seating Cat. 1</v>
      </c>
      <c r="M356">
        <f t="shared" ca="1" si="16"/>
        <v>-2267</v>
      </c>
      <c r="N356">
        <f t="shared" si="17"/>
        <v>7389.9000000000015</v>
      </c>
      <c r="O35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17-SC1Sou-Ber25/7</v>
      </c>
    </row>
    <row r="357" spans="1:15" x14ac:dyDescent="0.3">
      <c r="A357" t="s">
        <v>13</v>
      </c>
      <c r="B357" t="s">
        <v>54</v>
      </c>
      <c r="C357" s="1">
        <v>42941</v>
      </c>
      <c r="D357" t="s">
        <v>29</v>
      </c>
      <c r="E357">
        <v>97</v>
      </c>
      <c r="F357">
        <f>IFERROR(VLOOKUP(E357,Margins!$A:$B,2,TRUE),"")</f>
        <v>0.1</v>
      </c>
      <c r="G357">
        <f t="shared" si="15"/>
        <v>3880.0000000000005</v>
      </c>
      <c r="H357" t="s">
        <v>63</v>
      </c>
      <c r="I357">
        <v>400</v>
      </c>
      <c r="J357">
        <f>IF(Table1[[#This Row],[Tickets Sold]]&gt;500,8,5)</f>
        <v>5</v>
      </c>
      <c r="K357">
        <v>236</v>
      </c>
      <c r="L357" t="str">
        <f>VLOOKUP(H357,Descriptions!A:B, 2, FALSE)</f>
        <v>Seating Cat. 2</v>
      </c>
      <c r="M357">
        <f t="shared" ca="1" si="16"/>
        <v>-2267</v>
      </c>
      <c r="N357">
        <f t="shared" si="17"/>
        <v>2289.2000000000003</v>
      </c>
      <c r="O35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17-SC2Sou-Ber25/7</v>
      </c>
    </row>
    <row r="358" spans="1:15" x14ac:dyDescent="0.3">
      <c r="A358" t="s">
        <v>13</v>
      </c>
      <c r="B358" t="s">
        <v>54</v>
      </c>
      <c r="C358" s="1">
        <v>42941</v>
      </c>
      <c r="D358" t="s">
        <v>29</v>
      </c>
      <c r="E358">
        <v>210</v>
      </c>
      <c r="F358">
        <f>IFERROR(VLOOKUP(E358,Margins!$A:$B,2,TRUE),"")</f>
        <v>0.25</v>
      </c>
      <c r="G358">
        <f t="shared" si="15"/>
        <v>15750</v>
      </c>
      <c r="H358" t="s">
        <v>65</v>
      </c>
      <c r="I358">
        <v>300</v>
      </c>
      <c r="J358">
        <f>IF(Table1[[#This Row],[Tickets Sold]]&gt;500,8,5)</f>
        <v>5</v>
      </c>
      <c r="K358">
        <v>237</v>
      </c>
      <c r="L358" t="str">
        <f>VLOOKUP(H358,Descriptions!A:B, 2, FALSE)</f>
        <v>Ticket + Air travel Package</v>
      </c>
      <c r="M358">
        <f t="shared" ca="1" si="16"/>
        <v>-2267</v>
      </c>
      <c r="N358">
        <f t="shared" si="17"/>
        <v>12442.5</v>
      </c>
      <c r="O35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17-TA1Sou-Ber25/7</v>
      </c>
    </row>
    <row r="359" spans="1:15" x14ac:dyDescent="0.3">
      <c r="A359" t="s">
        <v>13</v>
      </c>
      <c r="B359" t="s">
        <v>54</v>
      </c>
      <c r="C359" s="1">
        <v>42941</v>
      </c>
      <c r="D359" t="s">
        <v>29</v>
      </c>
      <c r="E359">
        <v>31</v>
      </c>
      <c r="F359">
        <f>IFERROR(VLOOKUP(E359,Margins!$A:$B,2,TRUE),"")</f>
        <v>7.0000000000000007E-2</v>
      </c>
      <c r="G359">
        <f t="shared" si="15"/>
        <v>149.73000000000002</v>
      </c>
      <c r="H359" t="s">
        <v>67</v>
      </c>
      <c r="I359">
        <v>69</v>
      </c>
      <c r="J359">
        <f>IF(Table1[[#This Row],[Tickets Sold]]&gt;500,8,5)</f>
        <v>5</v>
      </c>
      <c r="K359">
        <v>38</v>
      </c>
      <c r="L359" t="str">
        <f>VLOOKUP(H359,Descriptions!A:B, 2, FALSE)</f>
        <v>Seating-disabled</v>
      </c>
      <c r="M359">
        <f t="shared" ca="1" si="16"/>
        <v>-2267</v>
      </c>
      <c r="N359">
        <f t="shared" si="17"/>
        <v>82.460000000000008</v>
      </c>
      <c r="O35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17-SCDSou-Ber25/7</v>
      </c>
    </row>
    <row r="360" spans="1:15" x14ac:dyDescent="0.3">
      <c r="A360" t="s">
        <v>13</v>
      </c>
      <c r="B360" t="s">
        <v>54</v>
      </c>
      <c r="C360" s="1">
        <v>42941</v>
      </c>
      <c r="D360" t="s">
        <v>29</v>
      </c>
      <c r="E360">
        <v>120</v>
      </c>
      <c r="F360">
        <f>IFERROR(VLOOKUP(E360,Margins!$A:$B,2,TRUE),"")</f>
        <v>0.15</v>
      </c>
      <c r="G360">
        <f t="shared" si="15"/>
        <v>900000</v>
      </c>
      <c r="H360" t="s">
        <v>69</v>
      </c>
      <c r="I360">
        <v>50000</v>
      </c>
      <c r="J360">
        <f>IF(Table1[[#This Row],[Tickets Sold]]&gt;500,8,5)</f>
        <v>8</v>
      </c>
      <c r="K360">
        <v>43500</v>
      </c>
      <c r="L360" t="str">
        <f>VLOOKUP(H360,Descriptions!A:B, 2, FALSE)</f>
        <v>General Admission (2 days)</v>
      </c>
      <c r="M360">
        <f t="shared" ca="1" si="16"/>
        <v>-2267</v>
      </c>
      <c r="N360">
        <f t="shared" si="17"/>
        <v>783000</v>
      </c>
      <c r="O36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17-GA2Sou-Ber25/7</v>
      </c>
    </row>
    <row r="361" spans="1:15" x14ac:dyDescent="0.3">
      <c r="A361" t="s">
        <v>13</v>
      </c>
      <c r="B361" t="s">
        <v>54</v>
      </c>
      <c r="C361" s="1">
        <v>42941</v>
      </c>
      <c r="D361" t="s">
        <v>29</v>
      </c>
      <c r="E361">
        <v>364</v>
      </c>
      <c r="F361">
        <f>IFERROR(VLOOKUP(E361,Margins!$A:$B,2,TRUE),"")</f>
        <v>0.25</v>
      </c>
      <c r="G361">
        <f t="shared" si="15"/>
        <v>18200</v>
      </c>
      <c r="H361" t="s">
        <v>66</v>
      </c>
      <c r="I361">
        <v>200</v>
      </c>
      <c r="J361">
        <f>IF(Table1[[#This Row],[Tickets Sold]]&gt;500,8,5)</f>
        <v>5</v>
      </c>
      <c r="K361">
        <v>108</v>
      </c>
      <c r="L361" t="str">
        <f>VLOOKUP(H361,Descriptions!A:B, 2, FALSE)</f>
        <v>Ticket + Air travel + Hotel Package</v>
      </c>
      <c r="M361">
        <f t="shared" ca="1" si="16"/>
        <v>-2267</v>
      </c>
      <c r="N361">
        <f t="shared" si="17"/>
        <v>9828</v>
      </c>
      <c r="O36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17-TA2Sou-Ber25/7</v>
      </c>
    </row>
    <row r="362" spans="1:15" x14ac:dyDescent="0.3">
      <c r="A362" t="s">
        <v>13</v>
      </c>
      <c r="B362" t="s">
        <v>54</v>
      </c>
      <c r="C362" s="1">
        <v>42965</v>
      </c>
      <c r="D362" t="s">
        <v>29</v>
      </c>
      <c r="E362">
        <v>47</v>
      </c>
      <c r="F362">
        <f>IFERROR(VLOOKUP(E362,Margins!$A:$B,2,TRUE),"")</f>
        <v>7.0000000000000007E-2</v>
      </c>
      <c r="G362">
        <f t="shared" si="15"/>
        <v>164500.00000000003</v>
      </c>
      <c r="H362" t="s">
        <v>68</v>
      </c>
      <c r="I362">
        <v>50000</v>
      </c>
      <c r="J362">
        <f>IF(Table1[[#This Row],[Tickets Sold]]&gt;500,8,5)</f>
        <v>8</v>
      </c>
      <c r="K362">
        <v>37000</v>
      </c>
      <c r="L362" t="str">
        <f>VLOOKUP(H362,Descriptions!A:B, 2, FALSE)</f>
        <v>General Admission (1 day)</v>
      </c>
      <c r="M362">
        <f t="shared" ca="1" si="16"/>
        <v>-2249</v>
      </c>
      <c r="N362">
        <f t="shared" si="17"/>
        <v>121730.00000000001</v>
      </c>
      <c r="O36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17-GA1Sou-Ber18/8</v>
      </c>
    </row>
    <row r="363" spans="1:15" x14ac:dyDescent="0.3">
      <c r="A363" t="s">
        <v>13</v>
      </c>
      <c r="B363" t="s">
        <v>54</v>
      </c>
      <c r="C363" s="1">
        <v>42965</v>
      </c>
      <c r="D363" t="s">
        <v>29</v>
      </c>
      <c r="E363">
        <v>47</v>
      </c>
      <c r="F363">
        <f>IFERROR(VLOOKUP(E363,Margins!$A:$B,2,TRUE),"")</f>
        <v>7.0000000000000007E-2</v>
      </c>
      <c r="G363">
        <f t="shared" si="15"/>
        <v>14805.000000000002</v>
      </c>
      <c r="H363" t="s">
        <v>62</v>
      </c>
      <c r="I363">
        <v>4500</v>
      </c>
      <c r="J363">
        <f>IF(Table1[[#This Row],[Tickets Sold]]&gt;500,8,5)</f>
        <v>8</v>
      </c>
      <c r="K363">
        <v>3420</v>
      </c>
      <c r="L363" t="str">
        <f>VLOOKUP(H363,Descriptions!A:B, 2, FALSE)</f>
        <v>Seating Cat. 1</v>
      </c>
      <c r="M363">
        <f t="shared" ca="1" si="16"/>
        <v>-2249</v>
      </c>
      <c r="N363">
        <f t="shared" si="17"/>
        <v>11251.800000000001</v>
      </c>
      <c r="O36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17-SC1Sou-Ber18/8</v>
      </c>
    </row>
    <row r="364" spans="1:15" x14ac:dyDescent="0.3">
      <c r="A364" t="s">
        <v>13</v>
      </c>
      <c r="B364" t="s">
        <v>54</v>
      </c>
      <c r="C364" s="1">
        <v>42965</v>
      </c>
      <c r="D364" t="s">
        <v>29</v>
      </c>
      <c r="E364">
        <v>85</v>
      </c>
      <c r="F364">
        <f>IFERROR(VLOOKUP(E364,Margins!$A:$B,2,TRUE),"")</f>
        <v>0.1</v>
      </c>
      <c r="G364">
        <f t="shared" si="15"/>
        <v>3400</v>
      </c>
      <c r="H364" t="s">
        <v>63</v>
      </c>
      <c r="I364">
        <v>400</v>
      </c>
      <c r="J364">
        <f>IF(Table1[[#This Row],[Tickets Sold]]&gt;500,8,5)</f>
        <v>5</v>
      </c>
      <c r="K364">
        <v>244</v>
      </c>
      <c r="L364" t="str">
        <f>VLOOKUP(H364,Descriptions!A:B, 2, FALSE)</f>
        <v>Seating Cat. 2</v>
      </c>
      <c r="M364">
        <f t="shared" ca="1" si="16"/>
        <v>-2249</v>
      </c>
      <c r="N364">
        <f t="shared" si="17"/>
        <v>2074</v>
      </c>
      <c r="O36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17-SC2Sou-Ber18/8</v>
      </c>
    </row>
    <row r="365" spans="1:15" x14ac:dyDescent="0.3">
      <c r="A365" t="s">
        <v>13</v>
      </c>
      <c r="B365" t="s">
        <v>54</v>
      </c>
      <c r="C365" s="1">
        <v>42965</v>
      </c>
      <c r="D365" t="s">
        <v>29</v>
      </c>
      <c r="E365">
        <v>266</v>
      </c>
      <c r="F365">
        <f>IFERROR(VLOOKUP(E365,Margins!$A:$B,2,TRUE),"")</f>
        <v>0.25</v>
      </c>
      <c r="G365">
        <f t="shared" si="15"/>
        <v>19950</v>
      </c>
      <c r="H365" t="s">
        <v>65</v>
      </c>
      <c r="I365">
        <v>300</v>
      </c>
      <c r="J365">
        <f>IF(Table1[[#This Row],[Tickets Sold]]&gt;500,8,5)</f>
        <v>5</v>
      </c>
      <c r="K365">
        <v>273</v>
      </c>
      <c r="L365" t="str">
        <f>VLOOKUP(H365,Descriptions!A:B, 2, FALSE)</f>
        <v>Ticket + Air travel Package</v>
      </c>
      <c r="M365">
        <f t="shared" ca="1" si="16"/>
        <v>-2249</v>
      </c>
      <c r="N365">
        <f t="shared" si="17"/>
        <v>18154.5</v>
      </c>
      <c r="O36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17-TA1Sou-Ber18/8</v>
      </c>
    </row>
    <row r="366" spans="1:15" x14ac:dyDescent="0.3">
      <c r="A366" t="s">
        <v>13</v>
      </c>
      <c r="B366" t="s">
        <v>54</v>
      </c>
      <c r="C366" s="1">
        <v>42965</v>
      </c>
      <c r="D366" t="s">
        <v>29</v>
      </c>
      <c r="E366">
        <v>34</v>
      </c>
      <c r="F366">
        <f>IFERROR(VLOOKUP(E366,Margins!$A:$B,2,TRUE),"")</f>
        <v>7.0000000000000007E-2</v>
      </c>
      <c r="G366">
        <f t="shared" si="15"/>
        <v>214.20000000000002</v>
      </c>
      <c r="H366" t="s">
        <v>67</v>
      </c>
      <c r="I366">
        <v>90</v>
      </c>
      <c r="J366">
        <f>IF(Table1[[#This Row],[Tickets Sold]]&gt;500,8,5)</f>
        <v>5</v>
      </c>
      <c r="K366">
        <v>61</v>
      </c>
      <c r="L366" t="str">
        <f>VLOOKUP(H366,Descriptions!A:B, 2, FALSE)</f>
        <v>Seating-disabled</v>
      </c>
      <c r="M366">
        <f t="shared" ca="1" si="16"/>
        <v>-2249</v>
      </c>
      <c r="N366">
        <f t="shared" si="17"/>
        <v>145.18</v>
      </c>
      <c r="O36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17-SCDSou-Ber18/8</v>
      </c>
    </row>
    <row r="367" spans="1:15" x14ac:dyDescent="0.3">
      <c r="A367" t="s">
        <v>13</v>
      </c>
      <c r="B367" t="s">
        <v>54</v>
      </c>
      <c r="C367" s="1">
        <v>42965</v>
      </c>
      <c r="D367" t="s">
        <v>29</v>
      </c>
      <c r="E367">
        <v>339</v>
      </c>
      <c r="F367">
        <f>IFERROR(VLOOKUP(E367,Margins!$A:$B,2,TRUE),"")</f>
        <v>0.25</v>
      </c>
      <c r="G367">
        <f t="shared" si="15"/>
        <v>25425</v>
      </c>
      <c r="H367" t="s">
        <v>66</v>
      </c>
      <c r="I367">
        <v>300</v>
      </c>
      <c r="J367">
        <f>IF(Table1[[#This Row],[Tickets Sold]]&gt;500,8,5)</f>
        <v>5</v>
      </c>
      <c r="K367">
        <v>273</v>
      </c>
      <c r="L367" t="str">
        <f>VLOOKUP(H367,Descriptions!A:B, 2, FALSE)</f>
        <v>Ticket + Air travel + Hotel Package</v>
      </c>
      <c r="M367">
        <f t="shared" ca="1" si="16"/>
        <v>-2249</v>
      </c>
      <c r="N367">
        <f t="shared" si="17"/>
        <v>23136.75</v>
      </c>
      <c r="O36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17-TA2Sou-Ber18/8</v>
      </c>
    </row>
    <row r="368" spans="1:15" x14ac:dyDescent="0.3">
      <c r="A368" t="s">
        <v>28</v>
      </c>
      <c r="B368" t="s">
        <v>5</v>
      </c>
      <c r="C368" s="1">
        <v>42912</v>
      </c>
      <c r="D368" t="s">
        <v>29</v>
      </c>
      <c r="E368">
        <v>50</v>
      </c>
      <c r="F368">
        <f>IFERROR(VLOOKUP(E368,Margins!$A:$B,2,TRUE),"")</f>
        <v>0.1</v>
      </c>
      <c r="G368">
        <f t="shared" si="15"/>
        <v>300000</v>
      </c>
      <c r="H368" t="s">
        <v>68</v>
      </c>
      <c r="I368">
        <v>60000</v>
      </c>
      <c r="J368">
        <f>IF(Table1[[#This Row],[Tickets Sold]]&gt;500,8,5)</f>
        <v>8</v>
      </c>
      <c r="K368">
        <v>48000</v>
      </c>
      <c r="L368" t="str">
        <f>VLOOKUP(H368,Descriptions!A:B, 2, FALSE)</f>
        <v>General Admission (1 day)</v>
      </c>
      <c r="M368">
        <f t="shared" ca="1" si="16"/>
        <v>-2287</v>
      </c>
      <c r="N368">
        <f t="shared" si="17"/>
        <v>240000</v>
      </c>
      <c r="O36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17-GA1Sou-Mad26/6</v>
      </c>
    </row>
    <row r="369" spans="1:15" x14ac:dyDescent="0.3">
      <c r="A369" t="s">
        <v>28</v>
      </c>
      <c r="B369" t="s">
        <v>5</v>
      </c>
      <c r="C369" s="1">
        <v>42912</v>
      </c>
      <c r="D369" t="s">
        <v>29</v>
      </c>
      <c r="E369">
        <v>38</v>
      </c>
      <c r="F369">
        <f>IFERROR(VLOOKUP(E369,Margins!$A:$B,2,TRUE),"")</f>
        <v>7.0000000000000007E-2</v>
      </c>
      <c r="G369">
        <f t="shared" si="15"/>
        <v>7714</v>
      </c>
      <c r="H369" t="s">
        <v>62</v>
      </c>
      <c r="I369">
        <v>2900</v>
      </c>
      <c r="J369">
        <f>IF(Table1[[#This Row],[Tickets Sold]]&gt;500,8,5)</f>
        <v>8</v>
      </c>
      <c r="K369">
        <v>2610</v>
      </c>
      <c r="L369" t="str">
        <f>VLOOKUP(H369,Descriptions!A:B, 2, FALSE)</f>
        <v>Seating Cat. 1</v>
      </c>
      <c r="M369">
        <f t="shared" ca="1" si="16"/>
        <v>-2287</v>
      </c>
      <c r="N369">
        <f t="shared" si="17"/>
        <v>6942.6</v>
      </c>
      <c r="O36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17-SC1Sou-Mad26/6</v>
      </c>
    </row>
    <row r="370" spans="1:15" x14ac:dyDescent="0.3">
      <c r="A370" t="s">
        <v>28</v>
      </c>
      <c r="B370" t="s">
        <v>5</v>
      </c>
      <c r="C370" s="1">
        <v>42912</v>
      </c>
      <c r="D370" t="s">
        <v>29</v>
      </c>
      <c r="E370">
        <v>250</v>
      </c>
      <c r="F370">
        <f>IFERROR(VLOOKUP(E370,Margins!$A:$B,2,TRUE),"")</f>
        <v>0.25</v>
      </c>
      <c r="G370">
        <f t="shared" si="15"/>
        <v>18750</v>
      </c>
      <c r="H370" t="s">
        <v>65</v>
      </c>
      <c r="I370">
        <v>300</v>
      </c>
      <c r="J370">
        <f>IF(Table1[[#This Row],[Tickets Sold]]&gt;500,8,5)</f>
        <v>5</v>
      </c>
      <c r="K370">
        <v>162</v>
      </c>
      <c r="L370" t="str">
        <f>VLOOKUP(H370,Descriptions!A:B, 2, FALSE)</f>
        <v>Ticket + Air travel Package</v>
      </c>
      <c r="M370">
        <f t="shared" ca="1" si="16"/>
        <v>-2287</v>
      </c>
      <c r="N370">
        <f t="shared" si="17"/>
        <v>10125</v>
      </c>
      <c r="O37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17-TA1Sou-Mad26/6</v>
      </c>
    </row>
    <row r="371" spans="1:15" x14ac:dyDescent="0.3">
      <c r="A371" t="s">
        <v>28</v>
      </c>
      <c r="B371" t="s">
        <v>5</v>
      </c>
      <c r="C371" s="1">
        <v>42912</v>
      </c>
      <c r="D371" t="s">
        <v>29</v>
      </c>
      <c r="E371">
        <v>313</v>
      </c>
      <c r="F371">
        <f>IFERROR(VLOOKUP(E371,Margins!$A:$B,2,TRUE),"")</f>
        <v>0.25</v>
      </c>
      <c r="G371">
        <f t="shared" si="15"/>
        <v>15650</v>
      </c>
      <c r="H371" t="s">
        <v>66</v>
      </c>
      <c r="I371">
        <v>200</v>
      </c>
      <c r="J371">
        <f>IF(Table1[[#This Row],[Tickets Sold]]&gt;500,8,5)</f>
        <v>5</v>
      </c>
      <c r="K371">
        <v>110</v>
      </c>
      <c r="L371" t="str">
        <f>VLOOKUP(H371,Descriptions!A:B, 2, FALSE)</f>
        <v>Ticket + Air travel + Hotel Package</v>
      </c>
      <c r="M371">
        <f t="shared" ca="1" si="16"/>
        <v>-2287</v>
      </c>
      <c r="N371">
        <f t="shared" si="17"/>
        <v>8607.5</v>
      </c>
      <c r="O37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17-TA2Sou-Mad26/6</v>
      </c>
    </row>
    <row r="372" spans="1:15" x14ac:dyDescent="0.3">
      <c r="A372" t="s">
        <v>28</v>
      </c>
      <c r="B372" t="s">
        <v>5</v>
      </c>
      <c r="C372" s="1">
        <v>42916</v>
      </c>
      <c r="D372" t="s">
        <v>29</v>
      </c>
      <c r="E372">
        <v>50</v>
      </c>
      <c r="F372">
        <f>IFERROR(VLOOKUP(E372,Margins!$A:$B,2,TRUE),"")</f>
        <v>0.1</v>
      </c>
      <c r="G372">
        <f t="shared" si="15"/>
        <v>250000</v>
      </c>
      <c r="H372" t="s">
        <v>68</v>
      </c>
      <c r="I372">
        <v>50000</v>
      </c>
      <c r="J372">
        <f>IF(Table1[[#This Row],[Tickets Sold]]&gt;500,8,5)</f>
        <v>8</v>
      </c>
      <c r="K372">
        <v>32000</v>
      </c>
      <c r="L372" t="str">
        <f>VLOOKUP(H372,Descriptions!A:B, 2, FALSE)</f>
        <v>General Admission (1 day)</v>
      </c>
      <c r="M372">
        <f t="shared" ca="1" si="16"/>
        <v>-2284</v>
      </c>
      <c r="N372">
        <f t="shared" si="17"/>
        <v>160000</v>
      </c>
      <c r="O37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17-GA1Sou-Mad30/6</v>
      </c>
    </row>
    <row r="373" spans="1:15" x14ac:dyDescent="0.3">
      <c r="A373" t="s">
        <v>28</v>
      </c>
      <c r="B373" t="s">
        <v>5</v>
      </c>
      <c r="C373" s="1">
        <v>42916</v>
      </c>
      <c r="D373" t="s">
        <v>29</v>
      </c>
      <c r="E373">
        <v>48</v>
      </c>
      <c r="F373">
        <f>IFERROR(VLOOKUP(E373,Margins!$A:$B,2,TRUE),"")</f>
        <v>7.0000000000000007E-2</v>
      </c>
      <c r="G373">
        <f t="shared" si="15"/>
        <v>9744.0000000000018</v>
      </c>
      <c r="H373" t="s">
        <v>62</v>
      </c>
      <c r="I373">
        <v>2900</v>
      </c>
      <c r="J373">
        <f>IF(Table1[[#This Row],[Tickets Sold]]&gt;500,8,5)</f>
        <v>8</v>
      </c>
      <c r="K373">
        <v>2001</v>
      </c>
      <c r="L373" t="str">
        <f>VLOOKUP(H373,Descriptions!A:B, 2, FALSE)</f>
        <v>Seating Cat. 1</v>
      </c>
      <c r="M373">
        <f t="shared" ca="1" si="16"/>
        <v>-2284</v>
      </c>
      <c r="N373">
        <f t="shared" si="17"/>
        <v>6723.3600000000006</v>
      </c>
      <c r="O37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17-SC1Sou-Mad30/6</v>
      </c>
    </row>
    <row r="374" spans="1:15" x14ac:dyDescent="0.3">
      <c r="A374" t="s">
        <v>28</v>
      </c>
      <c r="B374" t="s">
        <v>5</v>
      </c>
      <c r="C374" s="1">
        <v>42916</v>
      </c>
      <c r="D374" t="s">
        <v>29</v>
      </c>
      <c r="E374">
        <v>206</v>
      </c>
      <c r="F374">
        <f>IFERROR(VLOOKUP(E374,Margins!$A:$B,2,TRUE),"")</f>
        <v>0.25</v>
      </c>
      <c r="G374">
        <f t="shared" si="15"/>
        <v>15450</v>
      </c>
      <c r="H374" t="s">
        <v>65</v>
      </c>
      <c r="I374">
        <v>300</v>
      </c>
      <c r="J374">
        <f>IF(Table1[[#This Row],[Tickets Sold]]&gt;500,8,5)</f>
        <v>5</v>
      </c>
      <c r="K374">
        <v>276</v>
      </c>
      <c r="L374" t="str">
        <f>VLOOKUP(H374,Descriptions!A:B, 2, FALSE)</f>
        <v>Ticket + Air travel Package</v>
      </c>
      <c r="M374">
        <f t="shared" ca="1" si="16"/>
        <v>-2284</v>
      </c>
      <c r="N374">
        <f t="shared" si="17"/>
        <v>14214</v>
      </c>
      <c r="O37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17-TA1Sou-Mad30/6</v>
      </c>
    </row>
    <row r="375" spans="1:15" x14ac:dyDescent="0.3">
      <c r="A375" t="s">
        <v>28</v>
      </c>
      <c r="B375" t="s">
        <v>5</v>
      </c>
      <c r="C375" s="1">
        <v>42916</v>
      </c>
      <c r="D375" t="s">
        <v>29</v>
      </c>
      <c r="E375">
        <v>397</v>
      </c>
      <c r="F375">
        <f>IFERROR(VLOOKUP(E375,Margins!$A:$B,2,TRUE),"")</f>
        <v>0.25</v>
      </c>
      <c r="G375">
        <f t="shared" si="15"/>
        <v>29775</v>
      </c>
      <c r="H375" t="s">
        <v>66</v>
      </c>
      <c r="I375">
        <v>300</v>
      </c>
      <c r="J375">
        <f>IF(Table1[[#This Row],[Tickets Sold]]&gt;500,8,5)</f>
        <v>5</v>
      </c>
      <c r="K375">
        <v>231</v>
      </c>
      <c r="L375" t="str">
        <f>VLOOKUP(H375,Descriptions!A:B, 2, FALSE)</f>
        <v>Ticket + Air travel + Hotel Package</v>
      </c>
      <c r="M375">
        <f t="shared" ca="1" si="16"/>
        <v>-2284</v>
      </c>
      <c r="N375">
        <f t="shared" si="17"/>
        <v>22926.75</v>
      </c>
      <c r="O37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17-TA2Sou-Mad30/6</v>
      </c>
    </row>
    <row r="376" spans="1:15" x14ac:dyDescent="0.3">
      <c r="A376" t="s">
        <v>28</v>
      </c>
      <c r="B376" t="s">
        <v>51</v>
      </c>
      <c r="C376" s="1">
        <v>42922</v>
      </c>
      <c r="D376" t="s">
        <v>29</v>
      </c>
      <c r="E376">
        <v>50</v>
      </c>
      <c r="F376">
        <f>IFERROR(VLOOKUP(E376,Margins!$A:$B,2,TRUE),"")</f>
        <v>0.1</v>
      </c>
      <c r="G376">
        <f t="shared" si="15"/>
        <v>300000</v>
      </c>
      <c r="H376" t="s">
        <v>68</v>
      </c>
      <c r="I376">
        <v>60000</v>
      </c>
      <c r="J376">
        <f>IF(Table1[[#This Row],[Tickets Sold]]&gt;500,8,5)</f>
        <v>8</v>
      </c>
      <c r="K376">
        <v>50400</v>
      </c>
      <c r="L376" t="str">
        <f>VLOOKUP(H376,Descriptions!A:B, 2, FALSE)</f>
        <v>General Admission (1 day)</v>
      </c>
      <c r="M376">
        <f t="shared" ca="1" si="16"/>
        <v>-2280</v>
      </c>
      <c r="N376">
        <f t="shared" si="17"/>
        <v>252000</v>
      </c>
      <c r="O37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17-GA1Sou-Bar6/7</v>
      </c>
    </row>
    <row r="377" spans="1:15" x14ac:dyDescent="0.3">
      <c r="A377" t="s">
        <v>28</v>
      </c>
      <c r="B377" t="s">
        <v>51</v>
      </c>
      <c r="C377" s="1">
        <v>42922</v>
      </c>
      <c r="D377" t="s">
        <v>29</v>
      </c>
      <c r="E377">
        <v>66</v>
      </c>
      <c r="F377">
        <f>IFERROR(VLOOKUP(E377,Margins!$A:$B,2,TRUE),"")</f>
        <v>0.1</v>
      </c>
      <c r="G377">
        <f t="shared" si="15"/>
        <v>22572.000000000004</v>
      </c>
      <c r="H377" t="s">
        <v>62</v>
      </c>
      <c r="I377">
        <v>3420</v>
      </c>
      <c r="J377">
        <f>IF(Table1[[#This Row],[Tickets Sold]]&gt;500,8,5)</f>
        <v>8</v>
      </c>
      <c r="K377">
        <v>2634</v>
      </c>
      <c r="L377" t="str">
        <f>VLOOKUP(H377,Descriptions!A:B, 2, FALSE)</f>
        <v>Seating Cat. 1</v>
      </c>
      <c r="M377">
        <f t="shared" ca="1" si="16"/>
        <v>-2280</v>
      </c>
      <c r="N377">
        <f t="shared" si="17"/>
        <v>17384.400000000001</v>
      </c>
      <c r="O37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17-SC1Sou-Bar6/7</v>
      </c>
    </row>
    <row r="378" spans="1:15" x14ac:dyDescent="0.3">
      <c r="A378" t="s">
        <v>28</v>
      </c>
      <c r="B378" t="s">
        <v>51</v>
      </c>
      <c r="C378" s="1">
        <v>42922</v>
      </c>
      <c r="D378" t="s">
        <v>29</v>
      </c>
      <c r="E378">
        <v>257</v>
      </c>
      <c r="F378">
        <f>IFERROR(VLOOKUP(E378,Margins!$A:$B,2,TRUE),"")</f>
        <v>0.25</v>
      </c>
      <c r="G378">
        <f t="shared" si="15"/>
        <v>19275</v>
      </c>
      <c r="H378" t="s">
        <v>65</v>
      </c>
      <c r="I378">
        <v>300</v>
      </c>
      <c r="J378">
        <f>IF(Table1[[#This Row],[Tickets Sold]]&gt;500,8,5)</f>
        <v>5</v>
      </c>
      <c r="K378">
        <v>219</v>
      </c>
      <c r="L378" t="str">
        <f>VLOOKUP(H378,Descriptions!A:B, 2, FALSE)</f>
        <v>Ticket + Air travel Package</v>
      </c>
      <c r="M378">
        <f t="shared" ca="1" si="16"/>
        <v>-2280</v>
      </c>
      <c r="N378">
        <f t="shared" si="17"/>
        <v>14070.75</v>
      </c>
      <c r="O37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17-TA1Sou-Bar6/7</v>
      </c>
    </row>
    <row r="379" spans="1:15" x14ac:dyDescent="0.3">
      <c r="A379" t="s">
        <v>28</v>
      </c>
      <c r="B379" t="s">
        <v>51</v>
      </c>
      <c r="C379" s="1">
        <v>42922</v>
      </c>
      <c r="D379" t="s">
        <v>29</v>
      </c>
      <c r="E379">
        <v>316</v>
      </c>
      <c r="F379">
        <f>IFERROR(VLOOKUP(E379,Margins!$A:$B,2,TRUE),"")</f>
        <v>0.25</v>
      </c>
      <c r="G379">
        <f t="shared" si="15"/>
        <v>23700</v>
      </c>
      <c r="H379" t="s">
        <v>66</v>
      </c>
      <c r="I379">
        <v>300</v>
      </c>
      <c r="J379">
        <f>IF(Table1[[#This Row],[Tickets Sold]]&gt;500,8,5)</f>
        <v>5</v>
      </c>
      <c r="K379">
        <v>189</v>
      </c>
      <c r="L379" t="str">
        <f>VLOOKUP(H379,Descriptions!A:B, 2, FALSE)</f>
        <v>Ticket + Air travel + Hotel Package</v>
      </c>
      <c r="M379">
        <f t="shared" ca="1" si="16"/>
        <v>-2280</v>
      </c>
      <c r="N379">
        <f t="shared" si="17"/>
        <v>14931</v>
      </c>
      <c r="O37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17-TA2Sou-Bar6/7</v>
      </c>
    </row>
    <row r="380" spans="1:15" x14ac:dyDescent="0.3">
      <c r="A380" t="s">
        <v>28</v>
      </c>
      <c r="B380" t="s">
        <v>49</v>
      </c>
      <c r="C380" s="1">
        <v>42947</v>
      </c>
      <c r="D380" t="s">
        <v>29</v>
      </c>
      <c r="E380">
        <v>50</v>
      </c>
      <c r="F380">
        <f>IFERROR(VLOOKUP(E380,Margins!$A:$B,2,TRUE),"")</f>
        <v>0.1</v>
      </c>
      <c r="G380">
        <f t="shared" si="15"/>
        <v>250000</v>
      </c>
      <c r="H380" t="s">
        <v>68</v>
      </c>
      <c r="I380">
        <v>50000</v>
      </c>
      <c r="J380">
        <f>IF(Table1[[#This Row],[Tickets Sold]]&gt;500,8,5)</f>
        <v>8</v>
      </c>
      <c r="K380">
        <v>31000</v>
      </c>
      <c r="L380" t="str">
        <f>VLOOKUP(H380,Descriptions!A:B, 2, FALSE)</f>
        <v>General Admission (1 day)</v>
      </c>
      <c r="M380">
        <f t="shared" ca="1" si="16"/>
        <v>-2262</v>
      </c>
      <c r="N380">
        <f t="shared" si="17"/>
        <v>155000</v>
      </c>
      <c r="O38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17-GA1Sou-Nic31/7</v>
      </c>
    </row>
    <row r="381" spans="1:15" x14ac:dyDescent="0.3">
      <c r="A381" t="s">
        <v>28</v>
      </c>
      <c r="B381" t="s">
        <v>49</v>
      </c>
      <c r="C381" s="1">
        <v>42947</v>
      </c>
      <c r="D381" t="s">
        <v>29</v>
      </c>
      <c r="E381">
        <v>58</v>
      </c>
      <c r="F381">
        <f>IFERROR(VLOOKUP(E381,Margins!$A:$B,2,TRUE),"")</f>
        <v>0.1</v>
      </c>
      <c r="G381">
        <f t="shared" si="15"/>
        <v>17980.000000000004</v>
      </c>
      <c r="H381" t="s">
        <v>62</v>
      </c>
      <c r="I381">
        <v>3100</v>
      </c>
      <c r="J381">
        <f>IF(Table1[[#This Row],[Tickets Sold]]&gt;500,8,5)</f>
        <v>8</v>
      </c>
      <c r="K381">
        <v>1581</v>
      </c>
      <c r="L381" t="str">
        <f>VLOOKUP(H381,Descriptions!A:B, 2, FALSE)</f>
        <v>Seating Cat. 1</v>
      </c>
      <c r="M381">
        <f t="shared" ca="1" si="16"/>
        <v>-2262</v>
      </c>
      <c r="N381">
        <f t="shared" si="17"/>
        <v>9169.8000000000011</v>
      </c>
      <c r="O38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17-SC1Sou-Nic31/7</v>
      </c>
    </row>
    <row r="382" spans="1:15" x14ac:dyDescent="0.3">
      <c r="A382" t="s">
        <v>28</v>
      </c>
      <c r="B382" t="s">
        <v>49</v>
      </c>
      <c r="C382" s="1">
        <v>42947</v>
      </c>
      <c r="D382" t="s">
        <v>29</v>
      </c>
      <c r="E382">
        <v>275</v>
      </c>
      <c r="F382">
        <f>IFERROR(VLOOKUP(E382,Margins!$A:$B,2,TRUE),"")</f>
        <v>0.25</v>
      </c>
      <c r="G382">
        <f t="shared" si="15"/>
        <v>20625</v>
      </c>
      <c r="H382" t="s">
        <v>65</v>
      </c>
      <c r="I382">
        <v>300</v>
      </c>
      <c r="J382">
        <f>IF(Table1[[#This Row],[Tickets Sold]]&gt;500,8,5)</f>
        <v>5</v>
      </c>
      <c r="K382">
        <v>279</v>
      </c>
      <c r="L382" t="str">
        <f>VLOOKUP(H382,Descriptions!A:B, 2, FALSE)</f>
        <v>Ticket + Air travel Package</v>
      </c>
      <c r="M382">
        <f t="shared" ca="1" si="16"/>
        <v>-2262</v>
      </c>
      <c r="N382">
        <f t="shared" si="17"/>
        <v>19181.25</v>
      </c>
      <c r="O38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17-TA1Sou-Nic31/7</v>
      </c>
    </row>
    <row r="383" spans="1:15" x14ac:dyDescent="0.3">
      <c r="A383" t="s">
        <v>28</v>
      </c>
      <c r="B383" t="s">
        <v>49</v>
      </c>
      <c r="C383" s="1">
        <v>42947</v>
      </c>
      <c r="D383" t="s">
        <v>29</v>
      </c>
      <c r="E383">
        <v>366</v>
      </c>
      <c r="F383">
        <f>IFERROR(VLOOKUP(E383,Margins!$A:$B,2,TRUE),"")</f>
        <v>0.25</v>
      </c>
      <c r="G383">
        <f t="shared" si="15"/>
        <v>18300</v>
      </c>
      <c r="H383" t="s">
        <v>66</v>
      </c>
      <c r="I383">
        <v>200</v>
      </c>
      <c r="J383">
        <f>IF(Table1[[#This Row],[Tickets Sold]]&gt;500,8,5)</f>
        <v>5</v>
      </c>
      <c r="K383">
        <v>156</v>
      </c>
      <c r="L383" t="str">
        <f>VLOOKUP(H383,Descriptions!A:B, 2, FALSE)</f>
        <v>Ticket + Air travel + Hotel Package</v>
      </c>
      <c r="M383">
        <f t="shared" ca="1" si="16"/>
        <v>-2262</v>
      </c>
      <c r="N383">
        <f t="shared" si="17"/>
        <v>14274</v>
      </c>
      <c r="O38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17-TA2Sou-Nic31/7</v>
      </c>
    </row>
    <row r="384" spans="1:15" x14ac:dyDescent="0.3">
      <c r="A384" t="s">
        <v>28</v>
      </c>
      <c r="B384" t="s">
        <v>54</v>
      </c>
      <c r="C384" s="1">
        <v>42950</v>
      </c>
      <c r="D384" t="s">
        <v>29</v>
      </c>
      <c r="E384">
        <v>50</v>
      </c>
      <c r="F384">
        <f>IFERROR(VLOOKUP(E384,Margins!$A:$B,2,TRUE),"")</f>
        <v>0.1</v>
      </c>
      <c r="G384">
        <f t="shared" si="15"/>
        <v>250000</v>
      </c>
      <c r="H384" t="s">
        <v>68</v>
      </c>
      <c r="I384">
        <v>50000</v>
      </c>
      <c r="J384">
        <f>IF(Table1[[#This Row],[Tickets Sold]]&gt;500,8,5)</f>
        <v>8</v>
      </c>
      <c r="K384">
        <v>38000</v>
      </c>
      <c r="L384" t="str">
        <f>VLOOKUP(H384,Descriptions!A:B, 2, FALSE)</f>
        <v>General Admission (1 day)</v>
      </c>
      <c r="M384">
        <f t="shared" ca="1" si="16"/>
        <v>-2260</v>
      </c>
      <c r="N384">
        <f t="shared" si="17"/>
        <v>190000</v>
      </c>
      <c r="O38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17-GA1Sou-Ber3/8</v>
      </c>
    </row>
    <row r="385" spans="1:15" x14ac:dyDescent="0.3">
      <c r="A385" t="s">
        <v>28</v>
      </c>
      <c r="B385" t="s">
        <v>54</v>
      </c>
      <c r="C385" s="1">
        <v>42950</v>
      </c>
      <c r="D385" t="s">
        <v>29</v>
      </c>
      <c r="E385">
        <v>60</v>
      </c>
      <c r="F385">
        <f>IFERROR(VLOOKUP(E385,Margins!$A:$B,2,TRUE),"")</f>
        <v>0.1</v>
      </c>
      <c r="G385">
        <f t="shared" si="15"/>
        <v>14880</v>
      </c>
      <c r="H385" t="s">
        <v>62</v>
      </c>
      <c r="I385">
        <v>2480</v>
      </c>
      <c r="J385">
        <f>IF(Table1[[#This Row],[Tickets Sold]]&gt;500,8,5)</f>
        <v>8</v>
      </c>
      <c r="K385">
        <v>2158</v>
      </c>
      <c r="L385" t="str">
        <f>VLOOKUP(H385,Descriptions!A:B, 2, FALSE)</f>
        <v>Seating Cat. 1</v>
      </c>
      <c r="M385">
        <f t="shared" ca="1" si="16"/>
        <v>-2260</v>
      </c>
      <c r="N385">
        <f t="shared" si="17"/>
        <v>12948</v>
      </c>
      <c r="O38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17-SC1Sou-Ber3/8</v>
      </c>
    </row>
    <row r="386" spans="1:15" x14ac:dyDescent="0.3">
      <c r="A386" t="s">
        <v>28</v>
      </c>
      <c r="B386" t="s">
        <v>54</v>
      </c>
      <c r="C386" s="1">
        <v>42950</v>
      </c>
      <c r="D386" t="s">
        <v>29</v>
      </c>
      <c r="E386">
        <v>220</v>
      </c>
      <c r="F386">
        <f>IFERROR(VLOOKUP(E386,Margins!$A:$B,2,TRUE),"")</f>
        <v>0.25</v>
      </c>
      <c r="G386">
        <f t="shared" ref="G386:G449" si="18">IFERROR(E386*F386*I386,"")</f>
        <v>16500</v>
      </c>
      <c r="H386" t="s">
        <v>65</v>
      </c>
      <c r="I386">
        <v>300</v>
      </c>
      <c r="J386">
        <f>IF(Table1[[#This Row],[Tickets Sold]]&gt;500,8,5)</f>
        <v>5</v>
      </c>
      <c r="K386">
        <v>249</v>
      </c>
      <c r="L386" t="str">
        <f>VLOOKUP(H386,Descriptions!A:B, 2, FALSE)</f>
        <v>Ticket + Air travel Package</v>
      </c>
      <c r="M386">
        <f t="shared" ref="M386:M449" ca="1" si="19">NETWORKDAYS(TODAY(), C386-1)</f>
        <v>-2260</v>
      </c>
      <c r="N386">
        <f t="shared" si="17"/>
        <v>13695</v>
      </c>
      <c r="O38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17-TA1Sou-Ber3/8</v>
      </c>
    </row>
    <row r="387" spans="1:15" x14ac:dyDescent="0.3">
      <c r="A387" t="s">
        <v>28</v>
      </c>
      <c r="B387" t="s">
        <v>54</v>
      </c>
      <c r="C387" s="1">
        <v>42950</v>
      </c>
      <c r="D387" t="s">
        <v>29</v>
      </c>
      <c r="E387">
        <v>376</v>
      </c>
      <c r="F387">
        <f>IFERROR(VLOOKUP(E387,Margins!$A:$B,2,TRUE),"")</f>
        <v>0.25</v>
      </c>
      <c r="G387">
        <f t="shared" si="18"/>
        <v>28200</v>
      </c>
      <c r="H387" t="s">
        <v>66</v>
      </c>
      <c r="I387">
        <v>300</v>
      </c>
      <c r="J387">
        <f>IF(Table1[[#This Row],[Tickets Sold]]&gt;500,8,5)</f>
        <v>5</v>
      </c>
      <c r="K387">
        <v>192</v>
      </c>
      <c r="L387" t="str">
        <f>VLOOKUP(H387,Descriptions!A:B, 2, FALSE)</f>
        <v>Ticket + Air travel + Hotel Package</v>
      </c>
      <c r="M387">
        <f t="shared" ca="1" si="19"/>
        <v>-2260</v>
      </c>
      <c r="N387">
        <f t="shared" ref="N387:N450" si="20">E387*F387*K387</f>
        <v>18048</v>
      </c>
      <c r="O38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17-TA2Sou-Ber3/8</v>
      </c>
    </row>
    <row r="388" spans="1:15" x14ac:dyDescent="0.3">
      <c r="A388" t="s">
        <v>10</v>
      </c>
      <c r="B388" t="s">
        <v>51</v>
      </c>
      <c r="C388" s="1">
        <v>42887</v>
      </c>
      <c r="D388" t="s">
        <v>29</v>
      </c>
      <c r="E388">
        <v>52</v>
      </c>
      <c r="F388">
        <f>IFERROR(VLOOKUP(E388,Margins!$A:$B,2,TRUE),"")</f>
        <v>0.1</v>
      </c>
      <c r="G388">
        <f t="shared" si="18"/>
        <v>312000</v>
      </c>
      <c r="H388" t="s">
        <v>68</v>
      </c>
      <c r="I388">
        <v>60000</v>
      </c>
      <c r="J388">
        <f>IF(Table1[[#This Row],[Tickets Sold]]&gt;500,8,5)</f>
        <v>8</v>
      </c>
      <c r="K388">
        <v>33600</v>
      </c>
      <c r="L388" t="str">
        <f>VLOOKUP(H388,Descriptions!A:B, 2, FALSE)</f>
        <v>General Admission (1 day)</v>
      </c>
      <c r="M388">
        <f t="shared" ca="1" si="19"/>
        <v>-2305</v>
      </c>
      <c r="N388">
        <f t="shared" si="20"/>
        <v>174720</v>
      </c>
      <c r="O38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17-GA1Sum-Bar1/6</v>
      </c>
    </row>
    <row r="389" spans="1:15" x14ac:dyDescent="0.3">
      <c r="A389" t="s">
        <v>10</v>
      </c>
      <c r="B389" t="s">
        <v>51</v>
      </c>
      <c r="C389" s="1">
        <v>42887</v>
      </c>
      <c r="D389" t="s">
        <v>29</v>
      </c>
      <c r="E389">
        <v>141</v>
      </c>
      <c r="F389">
        <f>IFERROR(VLOOKUP(E389,Margins!$A:$B,2,TRUE),"")</f>
        <v>0.15</v>
      </c>
      <c r="G389">
        <f t="shared" si="18"/>
        <v>1057500</v>
      </c>
      <c r="H389" t="s">
        <v>70</v>
      </c>
      <c r="I389">
        <v>50000</v>
      </c>
      <c r="J389">
        <f>IF(Table1[[#This Row],[Tickets Sold]]&gt;500,8,5)</f>
        <v>8</v>
      </c>
      <c r="K389">
        <v>34500</v>
      </c>
      <c r="L389" t="str">
        <f>VLOOKUP(H389,Descriptions!A:B, 2, FALSE)</f>
        <v>General Admission (season ticket)</v>
      </c>
      <c r="M389">
        <f t="shared" ca="1" si="19"/>
        <v>-2305</v>
      </c>
      <c r="N389">
        <f t="shared" si="20"/>
        <v>729675</v>
      </c>
      <c r="O38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17-GA3Sum-Bar1/6</v>
      </c>
    </row>
    <row r="390" spans="1:15" x14ac:dyDescent="0.3">
      <c r="A390" t="s">
        <v>10</v>
      </c>
      <c r="B390" t="s">
        <v>51</v>
      </c>
      <c r="C390" s="1">
        <v>42903</v>
      </c>
      <c r="D390" t="s">
        <v>29</v>
      </c>
      <c r="E390">
        <v>52</v>
      </c>
      <c r="F390">
        <f>IFERROR(VLOOKUP(E390,Margins!$A:$B,2,TRUE),"")</f>
        <v>0.1</v>
      </c>
      <c r="G390">
        <f t="shared" si="18"/>
        <v>312000</v>
      </c>
      <c r="H390" t="s">
        <v>68</v>
      </c>
      <c r="I390">
        <v>60000</v>
      </c>
      <c r="J390">
        <f>IF(Table1[[#This Row],[Tickets Sold]]&gt;500,8,5)</f>
        <v>8</v>
      </c>
      <c r="K390">
        <v>45000</v>
      </c>
      <c r="L390" t="str">
        <f>VLOOKUP(H390,Descriptions!A:B, 2, FALSE)</f>
        <v>General Admission (1 day)</v>
      </c>
      <c r="M390">
        <f t="shared" ca="1" si="19"/>
        <v>-2293</v>
      </c>
      <c r="N390">
        <f t="shared" si="20"/>
        <v>234000</v>
      </c>
      <c r="O39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17-GA1Sum-Bar17/6</v>
      </c>
    </row>
    <row r="391" spans="1:15" x14ac:dyDescent="0.3">
      <c r="A391" t="s">
        <v>10</v>
      </c>
      <c r="B391" t="s">
        <v>51</v>
      </c>
      <c r="C391" s="1">
        <v>42921</v>
      </c>
      <c r="D391" t="s">
        <v>29</v>
      </c>
      <c r="E391">
        <v>52</v>
      </c>
      <c r="F391">
        <f>IFERROR(VLOOKUP(E391,Margins!$A:$B,2,TRUE),"")</f>
        <v>0.1</v>
      </c>
      <c r="G391">
        <f t="shared" si="18"/>
        <v>260000</v>
      </c>
      <c r="H391" t="s">
        <v>68</v>
      </c>
      <c r="I391">
        <v>50000</v>
      </c>
      <c r="J391">
        <f>IF(Table1[[#This Row],[Tickets Sold]]&gt;500,8,5)</f>
        <v>8</v>
      </c>
      <c r="K391">
        <v>46500</v>
      </c>
      <c r="L391" t="str">
        <f>VLOOKUP(H391,Descriptions!A:B, 2, FALSE)</f>
        <v>General Admission (1 day)</v>
      </c>
      <c r="M391">
        <f t="shared" ca="1" si="19"/>
        <v>-2281</v>
      </c>
      <c r="N391">
        <f t="shared" si="20"/>
        <v>241800</v>
      </c>
      <c r="O39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17-GA1Sum-Bar5/7</v>
      </c>
    </row>
    <row r="392" spans="1:15" x14ac:dyDescent="0.3">
      <c r="A392" t="s">
        <v>10</v>
      </c>
      <c r="B392" t="s">
        <v>51</v>
      </c>
      <c r="C392" s="1">
        <v>42938</v>
      </c>
      <c r="D392" t="s">
        <v>29</v>
      </c>
      <c r="E392">
        <v>52</v>
      </c>
      <c r="F392">
        <f>IFERROR(VLOOKUP(E392,Margins!$A:$B,2,TRUE),"")</f>
        <v>0.1</v>
      </c>
      <c r="G392">
        <f t="shared" si="18"/>
        <v>260000</v>
      </c>
      <c r="H392" t="s">
        <v>68</v>
      </c>
      <c r="I392">
        <v>50000</v>
      </c>
      <c r="J392">
        <f>IF(Table1[[#This Row],[Tickets Sold]]&gt;500,8,5)</f>
        <v>8</v>
      </c>
      <c r="K392">
        <v>37000</v>
      </c>
      <c r="L392" t="str">
        <f>VLOOKUP(H392,Descriptions!A:B, 2, FALSE)</f>
        <v>General Admission (1 day)</v>
      </c>
      <c r="M392">
        <f t="shared" ca="1" si="19"/>
        <v>-2268</v>
      </c>
      <c r="N392">
        <f t="shared" si="20"/>
        <v>192400</v>
      </c>
      <c r="O39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17-GA1Sum-Bar22/7</v>
      </c>
    </row>
    <row r="393" spans="1:15" x14ac:dyDescent="0.3">
      <c r="A393" t="s">
        <v>10</v>
      </c>
      <c r="B393" t="s">
        <v>51</v>
      </c>
      <c r="C393" s="1">
        <v>42941</v>
      </c>
      <c r="D393" t="s">
        <v>29</v>
      </c>
      <c r="E393">
        <v>52</v>
      </c>
      <c r="F393">
        <f>IFERROR(VLOOKUP(E393,Margins!$A:$B,2,TRUE),"")</f>
        <v>0.1</v>
      </c>
      <c r="G393">
        <f t="shared" si="18"/>
        <v>260000</v>
      </c>
      <c r="H393" t="s">
        <v>68</v>
      </c>
      <c r="I393">
        <v>50000</v>
      </c>
      <c r="J393">
        <f>IF(Table1[[#This Row],[Tickets Sold]]&gt;500,8,5)</f>
        <v>8</v>
      </c>
      <c r="K393">
        <v>41000</v>
      </c>
      <c r="L393" t="str">
        <f>VLOOKUP(H393,Descriptions!A:B, 2, FALSE)</f>
        <v>General Admission (1 day)</v>
      </c>
      <c r="M393">
        <f t="shared" ca="1" si="19"/>
        <v>-2267</v>
      </c>
      <c r="N393">
        <f t="shared" si="20"/>
        <v>213200</v>
      </c>
      <c r="O39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17-GA1Sum-Bar25/7</v>
      </c>
    </row>
    <row r="394" spans="1:15" x14ac:dyDescent="0.3">
      <c r="A394" t="s">
        <v>10</v>
      </c>
      <c r="B394" t="s">
        <v>51</v>
      </c>
      <c r="C394" s="1">
        <v>42942</v>
      </c>
      <c r="D394" t="s">
        <v>29</v>
      </c>
      <c r="E394">
        <v>52</v>
      </c>
      <c r="F394">
        <f>IFERROR(VLOOKUP(E394,Margins!$A:$B,2,TRUE),"")</f>
        <v>0.1</v>
      </c>
      <c r="G394">
        <f t="shared" si="18"/>
        <v>312000</v>
      </c>
      <c r="H394" t="s">
        <v>68</v>
      </c>
      <c r="I394">
        <v>60000</v>
      </c>
      <c r="J394">
        <f>IF(Table1[[#This Row],[Tickets Sold]]&gt;500,8,5)</f>
        <v>8</v>
      </c>
      <c r="K394">
        <v>34800</v>
      </c>
      <c r="L394" t="str">
        <f>VLOOKUP(H394,Descriptions!A:B, 2, FALSE)</f>
        <v>General Admission (1 day)</v>
      </c>
      <c r="M394">
        <f t="shared" ca="1" si="19"/>
        <v>-2266</v>
      </c>
      <c r="N394">
        <f t="shared" si="20"/>
        <v>180960</v>
      </c>
      <c r="O39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17-GA1Sum-Bar26/7</v>
      </c>
    </row>
    <row r="395" spans="1:15" x14ac:dyDescent="0.3">
      <c r="A395" t="s">
        <v>10</v>
      </c>
      <c r="B395" t="s">
        <v>51</v>
      </c>
      <c r="C395" s="1">
        <v>42945</v>
      </c>
      <c r="D395" t="s">
        <v>29</v>
      </c>
      <c r="E395">
        <v>52</v>
      </c>
      <c r="F395">
        <f>IFERROR(VLOOKUP(E395,Margins!$A:$B,2,TRUE),"")</f>
        <v>0.1</v>
      </c>
      <c r="G395">
        <f t="shared" si="18"/>
        <v>260000</v>
      </c>
      <c r="H395" t="s">
        <v>68</v>
      </c>
      <c r="I395">
        <v>50000</v>
      </c>
      <c r="J395">
        <f>IF(Table1[[#This Row],[Tickets Sold]]&gt;500,8,5)</f>
        <v>8</v>
      </c>
      <c r="K395">
        <v>37500</v>
      </c>
      <c r="L395" t="str">
        <f>VLOOKUP(H395,Descriptions!A:B, 2, FALSE)</f>
        <v>General Admission (1 day)</v>
      </c>
      <c r="M395">
        <f t="shared" ca="1" si="19"/>
        <v>-2263</v>
      </c>
      <c r="N395">
        <f t="shared" si="20"/>
        <v>195000</v>
      </c>
      <c r="O39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17-GA1Sum-Bar29/7</v>
      </c>
    </row>
    <row r="396" spans="1:15" x14ac:dyDescent="0.3">
      <c r="A396" t="s">
        <v>10</v>
      </c>
      <c r="B396" t="s">
        <v>51</v>
      </c>
      <c r="C396" s="1">
        <v>42954</v>
      </c>
      <c r="D396" t="s">
        <v>29</v>
      </c>
      <c r="E396">
        <v>52</v>
      </c>
      <c r="F396">
        <f>IFERROR(VLOOKUP(E396,Margins!$A:$B,2,TRUE),"")</f>
        <v>0.1</v>
      </c>
      <c r="G396">
        <f t="shared" si="18"/>
        <v>312000</v>
      </c>
      <c r="H396" t="s">
        <v>68</v>
      </c>
      <c r="I396">
        <v>60000</v>
      </c>
      <c r="J396">
        <f>IF(Table1[[#This Row],[Tickets Sold]]&gt;500,8,5)</f>
        <v>8</v>
      </c>
      <c r="K396">
        <v>51000</v>
      </c>
      <c r="L396" t="str">
        <f>VLOOKUP(H396,Descriptions!A:B, 2, FALSE)</f>
        <v>General Admission (1 day)</v>
      </c>
      <c r="M396">
        <f t="shared" ca="1" si="19"/>
        <v>-2257</v>
      </c>
      <c r="N396">
        <f t="shared" si="20"/>
        <v>265200</v>
      </c>
      <c r="O39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17-GA1Sum-Bar7/8</v>
      </c>
    </row>
    <row r="397" spans="1:15" x14ac:dyDescent="0.3">
      <c r="A397" t="s">
        <v>10</v>
      </c>
      <c r="B397" t="s">
        <v>51</v>
      </c>
      <c r="C397" s="1">
        <v>42973</v>
      </c>
      <c r="D397" t="s">
        <v>29</v>
      </c>
      <c r="E397">
        <v>52</v>
      </c>
      <c r="F397">
        <f>IFERROR(VLOOKUP(E397,Margins!$A:$B,2,TRUE),"")</f>
        <v>0.1</v>
      </c>
      <c r="G397">
        <f t="shared" si="18"/>
        <v>260000</v>
      </c>
      <c r="H397" t="s">
        <v>68</v>
      </c>
      <c r="I397">
        <v>50000</v>
      </c>
      <c r="J397">
        <f>IF(Table1[[#This Row],[Tickets Sold]]&gt;500,8,5)</f>
        <v>8</v>
      </c>
      <c r="K397">
        <v>26500</v>
      </c>
      <c r="L397" t="str">
        <f>VLOOKUP(H397,Descriptions!A:B, 2, FALSE)</f>
        <v>General Admission (1 day)</v>
      </c>
      <c r="M397">
        <f t="shared" ca="1" si="19"/>
        <v>-2243</v>
      </c>
      <c r="N397">
        <f t="shared" si="20"/>
        <v>137800</v>
      </c>
      <c r="O39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17-GA1Sum-Bar26/8</v>
      </c>
    </row>
    <row r="398" spans="1:15" x14ac:dyDescent="0.3">
      <c r="A398" t="s">
        <v>6</v>
      </c>
      <c r="B398" t="s">
        <v>47</v>
      </c>
      <c r="C398" s="1">
        <v>42935</v>
      </c>
      <c r="D398" t="s">
        <v>79</v>
      </c>
      <c r="E398">
        <v>52</v>
      </c>
      <c r="F398">
        <f>IFERROR(VLOOKUP(E398,Margins!$A:$B,2,TRUE),"")</f>
        <v>0.1</v>
      </c>
      <c r="G398">
        <f t="shared" si="18"/>
        <v>72098</v>
      </c>
      <c r="H398" t="s">
        <v>68</v>
      </c>
      <c r="I398">
        <v>13865</v>
      </c>
      <c r="J398">
        <f>IF(Table1[[#This Row],[Tickets Sold]]&gt;500,8,5)</f>
        <v>8</v>
      </c>
      <c r="K398">
        <v>8181</v>
      </c>
      <c r="L398" t="str">
        <f>VLOOKUP(H398,Descriptions!A:B, 2, FALSE)</f>
        <v>General Admission (1 day)</v>
      </c>
      <c r="M398">
        <f t="shared" ca="1" si="19"/>
        <v>-2271</v>
      </c>
      <c r="N398">
        <f t="shared" si="20"/>
        <v>42541.200000000004</v>
      </c>
      <c r="O39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17-GA1Tom-Sto19/7</v>
      </c>
    </row>
    <row r="399" spans="1:15" x14ac:dyDescent="0.3">
      <c r="A399" t="s">
        <v>6</v>
      </c>
      <c r="B399" t="s">
        <v>47</v>
      </c>
      <c r="C399" s="1">
        <v>42935</v>
      </c>
      <c r="D399" t="s">
        <v>79</v>
      </c>
      <c r="E399">
        <v>73</v>
      </c>
      <c r="F399">
        <f>IFERROR(VLOOKUP(E399,Margins!$A:$B,2,TRUE),"")</f>
        <v>0.1</v>
      </c>
      <c r="G399">
        <f t="shared" si="18"/>
        <v>11249.300000000001</v>
      </c>
      <c r="H399" t="s">
        <v>62</v>
      </c>
      <c r="I399">
        <v>1541</v>
      </c>
      <c r="J399">
        <f>IF(Table1[[#This Row],[Tickets Sold]]&gt;500,8,5)</f>
        <v>8</v>
      </c>
      <c r="K399">
        <v>1372</v>
      </c>
      <c r="L399" t="str">
        <f>VLOOKUP(H399,Descriptions!A:B, 2, FALSE)</f>
        <v>Seating Cat. 1</v>
      </c>
      <c r="M399">
        <f t="shared" ca="1" si="19"/>
        <v>-2271</v>
      </c>
      <c r="N399">
        <f t="shared" si="20"/>
        <v>10015.6</v>
      </c>
      <c r="O39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17-SC1Tom-Sto19/7</v>
      </c>
    </row>
    <row r="400" spans="1:15" x14ac:dyDescent="0.3">
      <c r="A400" t="s">
        <v>6</v>
      </c>
      <c r="B400" t="s">
        <v>47</v>
      </c>
      <c r="C400" s="1">
        <v>42935</v>
      </c>
      <c r="D400" t="s">
        <v>79</v>
      </c>
      <c r="E400">
        <v>83</v>
      </c>
      <c r="F400">
        <f>IFERROR(VLOOKUP(E400,Margins!$A:$B,2,TRUE),"")</f>
        <v>0.1</v>
      </c>
      <c r="G400">
        <f t="shared" si="18"/>
        <v>2905.0000000000005</v>
      </c>
      <c r="H400" t="s">
        <v>63</v>
      </c>
      <c r="I400">
        <v>350</v>
      </c>
      <c r="J400">
        <f>IF(Table1[[#This Row],[Tickets Sold]]&gt;500,8,5)</f>
        <v>5</v>
      </c>
      <c r="K400">
        <v>312</v>
      </c>
      <c r="L400" t="str">
        <f>VLOOKUP(H400,Descriptions!A:B, 2, FALSE)</f>
        <v>Seating Cat. 2</v>
      </c>
      <c r="M400">
        <f t="shared" ca="1" si="19"/>
        <v>-2271</v>
      </c>
      <c r="N400">
        <f t="shared" si="20"/>
        <v>2589.6000000000004</v>
      </c>
      <c r="O40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17-SC2Tom-Sto19/7</v>
      </c>
    </row>
    <row r="401" spans="1:15" x14ac:dyDescent="0.3">
      <c r="A401" t="s">
        <v>6</v>
      </c>
      <c r="B401" t="s">
        <v>47</v>
      </c>
      <c r="C401" s="1">
        <v>42935</v>
      </c>
      <c r="D401" t="s">
        <v>79</v>
      </c>
      <c r="E401">
        <v>275</v>
      </c>
      <c r="F401">
        <f>IFERROR(VLOOKUP(E401,Margins!$A:$B,2,TRUE),"")</f>
        <v>0.25</v>
      </c>
      <c r="G401">
        <f t="shared" si="18"/>
        <v>20625</v>
      </c>
      <c r="H401" t="s">
        <v>65</v>
      </c>
      <c r="I401">
        <v>300</v>
      </c>
      <c r="J401">
        <f>IF(Table1[[#This Row],[Tickets Sold]]&gt;500,8,5)</f>
        <v>5</v>
      </c>
      <c r="K401">
        <v>264</v>
      </c>
      <c r="L401" t="str">
        <f>VLOOKUP(H401,Descriptions!A:B, 2, FALSE)</f>
        <v>Ticket + Air travel Package</v>
      </c>
      <c r="M401">
        <f t="shared" ca="1" si="19"/>
        <v>-2271</v>
      </c>
      <c r="N401">
        <f t="shared" si="20"/>
        <v>18150</v>
      </c>
      <c r="O40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17-TA1Tom-Sto19/7</v>
      </c>
    </row>
    <row r="402" spans="1:15" x14ac:dyDescent="0.3">
      <c r="A402" t="s">
        <v>6</v>
      </c>
      <c r="B402" t="s">
        <v>47</v>
      </c>
      <c r="C402" s="1">
        <v>42935</v>
      </c>
      <c r="D402" t="s">
        <v>79</v>
      </c>
      <c r="E402">
        <v>388</v>
      </c>
      <c r="F402">
        <f>IFERROR(VLOOKUP(E402,Margins!$A:$B,2,TRUE),"")</f>
        <v>0.25</v>
      </c>
      <c r="G402">
        <f t="shared" si="18"/>
        <v>19400</v>
      </c>
      <c r="H402" t="s">
        <v>66</v>
      </c>
      <c r="I402">
        <v>200</v>
      </c>
      <c r="J402">
        <f>IF(Table1[[#This Row],[Tickets Sold]]&gt;500,8,5)</f>
        <v>5</v>
      </c>
      <c r="K402">
        <v>138</v>
      </c>
      <c r="L402" t="str">
        <f>VLOOKUP(H402,Descriptions!A:B, 2, FALSE)</f>
        <v>Ticket + Air travel + Hotel Package</v>
      </c>
      <c r="M402">
        <f t="shared" ca="1" si="19"/>
        <v>-2271</v>
      </c>
      <c r="N402">
        <f t="shared" si="20"/>
        <v>13386</v>
      </c>
      <c r="O40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17-TA2Tom-Sto19/7</v>
      </c>
    </row>
    <row r="403" spans="1:15" x14ac:dyDescent="0.3">
      <c r="A403" t="s">
        <v>6</v>
      </c>
      <c r="B403" t="s">
        <v>53</v>
      </c>
      <c r="C403" s="1">
        <v>42937</v>
      </c>
      <c r="D403" t="s">
        <v>79</v>
      </c>
      <c r="E403">
        <v>60</v>
      </c>
      <c r="F403">
        <f>IFERROR(VLOOKUP(E403,Margins!$A:$B,2,TRUE),"")</f>
        <v>0.1</v>
      </c>
      <c r="G403">
        <f t="shared" si="18"/>
        <v>48720</v>
      </c>
      <c r="H403" t="s">
        <v>68</v>
      </c>
      <c r="I403">
        <v>8120</v>
      </c>
      <c r="J403">
        <f>IF(Table1[[#This Row],[Tickets Sold]]&gt;500,8,5)</f>
        <v>8</v>
      </c>
      <c r="K403">
        <v>5197</v>
      </c>
      <c r="L403" t="str">
        <f>VLOOKUP(H403,Descriptions!A:B, 2, FALSE)</f>
        <v>General Admission (1 day)</v>
      </c>
      <c r="M403">
        <f t="shared" ca="1" si="19"/>
        <v>-2269</v>
      </c>
      <c r="N403">
        <f t="shared" si="20"/>
        <v>31182</v>
      </c>
      <c r="O40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17-GA1Tom-Ham21/7</v>
      </c>
    </row>
    <row r="404" spans="1:15" x14ac:dyDescent="0.3">
      <c r="A404" t="s">
        <v>6</v>
      </c>
      <c r="B404" t="s">
        <v>53</v>
      </c>
      <c r="C404" s="1">
        <v>42937</v>
      </c>
      <c r="D404" t="s">
        <v>79</v>
      </c>
      <c r="E404">
        <v>70</v>
      </c>
      <c r="F404">
        <f>IFERROR(VLOOKUP(E404,Margins!$A:$B,2,TRUE),"")</f>
        <v>0.1</v>
      </c>
      <c r="G404">
        <f t="shared" si="18"/>
        <v>4494</v>
      </c>
      <c r="H404" t="s">
        <v>62</v>
      </c>
      <c r="I404">
        <v>642</v>
      </c>
      <c r="J404">
        <f>IF(Table1[[#This Row],[Tickets Sold]]&gt;500,8,5)</f>
        <v>5</v>
      </c>
      <c r="K404">
        <v>431</v>
      </c>
      <c r="L404" t="str">
        <f>VLOOKUP(H404,Descriptions!A:B, 2, FALSE)</f>
        <v>Seating Cat. 1</v>
      </c>
      <c r="M404">
        <f t="shared" ca="1" si="19"/>
        <v>-2269</v>
      </c>
      <c r="N404">
        <f t="shared" si="20"/>
        <v>3017</v>
      </c>
      <c r="O40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17-SC1Tom-Ham21/7</v>
      </c>
    </row>
    <row r="405" spans="1:15" x14ac:dyDescent="0.3">
      <c r="A405" t="s">
        <v>6</v>
      </c>
      <c r="B405" t="s">
        <v>53</v>
      </c>
      <c r="C405" s="1">
        <v>42937</v>
      </c>
      <c r="D405" t="s">
        <v>79</v>
      </c>
      <c r="E405">
        <v>102</v>
      </c>
      <c r="F405">
        <f>IFERROR(VLOOKUP(E405,Margins!$A:$B,2,TRUE),"")</f>
        <v>0.15</v>
      </c>
      <c r="G405">
        <f t="shared" si="18"/>
        <v>6884.9999999999991</v>
      </c>
      <c r="H405" t="s">
        <v>63</v>
      </c>
      <c r="I405">
        <v>450</v>
      </c>
      <c r="J405">
        <f>IF(Table1[[#This Row],[Tickets Sold]]&gt;500,8,5)</f>
        <v>5</v>
      </c>
      <c r="K405">
        <v>306</v>
      </c>
      <c r="L405" t="str">
        <f>VLOOKUP(H405,Descriptions!A:B, 2, FALSE)</f>
        <v>Seating Cat. 2</v>
      </c>
      <c r="M405">
        <f t="shared" ca="1" si="19"/>
        <v>-2269</v>
      </c>
      <c r="N405">
        <f t="shared" si="20"/>
        <v>4681.7999999999993</v>
      </c>
      <c r="O40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17-SC2Tom-Ham21/7</v>
      </c>
    </row>
    <row r="406" spans="1:15" x14ac:dyDescent="0.3">
      <c r="A406" t="s">
        <v>6</v>
      </c>
      <c r="B406" t="s">
        <v>53</v>
      </c>
      <c r="C406" s="1">
        <v>42937</v>
      </c>
      <c r="D406" t="s">
        <v>79</v>
      </c>
      <c r="E406">
        <v>270</v>
      </c>
      <c r="F406">
        <f>IFERROR(VLOOKUP(E406,Margins!$A:$B,2,TRUE),"")</f>
        <v>0.25</v>
      </c>
      <c r="G406">
        <f t="shared" si="18"/>
        <v>20250</v>
      </c>
      <c r="H406" t="s">
        <v>65</v>
      </c>
      <c r="I406">
        <v>300</v>
      </c>
      <c r="J406">
        <f>IF(Table1[[#This Row],[Tickets Sold]]&gt;500,8,5)</f>
        <v>5</v>
      </c>
      <c r="K406">
        <v>207</v>
      </c>
      <c r="L406" t="str">
        <f>VLOOKUP(H406,Descriptions!A:B, 2, FALSE)</f>
        <v>Ticket + Air travel Package</v>
      </c>
      <c r="M406">
        <f t="shared" ca="1" si="19"/>
        <v>-2269</v>
      </c>
      <c r="N406">
        <f t="shared" si="20"/>
        <v>13972.5</v>
      </c>
      <c r="O40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17-TA1Tom-Ham21/7</v>
      </c>
    </row>
    <row r="407" spans="1:15" x14ac:dyDescent="0.3">
      <c r="A407" t="s">
        <v>6</v>
      </c>
      <c r="B407" t="s">
        <v>53</v>
      </c>
      <c r="C407" s="1">
        <v>42937</v>
      </c>
      <c r="D407" t="s">
        <v>79</v>
      </c>
      <c r="E407">
        <v>303</v>
      </c>
      <c r="F407">
        <f>IFERROR(VLOOKUP(E407,Margins!$A:$B,2,TRUE),"")</f>
        <v>0.25</v>
      </c>
      <c r="G407">
        <f t="shared" si="18"/>
        <v>15150</v>
      </c>
      <c r="H407" t="s">
        <v>66</v>
      </c>
      <c r="I407">
        <v>200</v>
      </c>
      <c r="J407">
        <f>IF(Table1[[#This Row],[Tickets Sold]]&gt;500,8,5)</f>
        <v>5</v>
      </c>
      <c r="K407">
        <v>104</v>
      </c>
      <c r="L407" t="str">
        <f>VLOOKUP(H407,Descriptions!A:B, 2, FALSE)</f>
        <v>Ticket + Air travel + Hotel Package</v>
      </c>
      <c r="M407">
        <f t="shared" ca="1" si="19"/>
        <v>-2269</v>
      </c>
      <c r="N407">
        <f t="shared" si="20"/>
        <v>7878</v>
      </c>
      <c r="O40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17-TA2Tom-Ham21/7</v>
      </c>
    </row>
    <row r="408" spans="1:15" x14ac:dyDescent="0.3">
      <c r="A408" t="s">
        <v>6</v>
      </c>
      <c r="B408" t="s">
        <v>48</v>
      </c>
      <c r="C408" s="1">
        <v>42939</v>
      </c>
      <c r="D408" t="s">
        <v>79</v>
      </c>
      <c r="E408">
        <v>55</v>
      </c>
      <c r="F408">
        <f>IFERROR(VLOOKUP(E408,Margins!$A:$B,2,TRUE),"")</f>
        <v>0.1</v>
      </c>
      <c r="G408">
        <f t="shared" si="18"/>
        <v>75174</v>
      </c>
      <c r="H408" t="s">
        <v>68</v>
      </c>
      <c r="I408">
        <v>13668</v>
      </c>
      <c r="J408">
        <f>IF(Table1[[#This Row],[Tickets Sold]]&gt;500,8,5)</f>
        <v>8</v>
      </c>
      <c r="K408">
        <v>6834</v>
      </c>
      <c r="L408" t="str">
        <f>VLOOKUP(H408,Descriptions!A:B, 2, FALSE)</f>
        <v>General Admission (1 day)</v>
      </c>
      <c r="M408">
        <f t="shared" ca="1" si="19"/>
        <v>-2267</v>
      </c>
      <c r="N408">
        <f t="shared" si="20"/>
        <v>37587</v>
      </c>
      <c r="O40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17-GA1Tom-Par23/7</v>
      </c>
    </row>
    <row r="409" spans="1:15" x14ac:dyDescent="0.3">
      <c r="A409" t="s">
        <v>6</v>
      </c>
      <c r="B409" t="s">
        <v>48</v>
      </c>
      <c r="C409" s="1">
        <v>42939</v>
      </c>
      <c r="D409" t="s">
        <v>79</v>
      </c>
      <c r="E409">
        <v>38</v>
      </c>
      <c r="F409">
        <f>IFERROR(VLOOKUP(E409,Margins!$A:$B,2,TRUE),"")</f>
        <v>7.0000000000000007E-2</v>
      </c>
      <c r="G409">
        <f t="shared" si="18"/>
        <v>3192</v>
      </c>
      <c r="H409" t="s">
        <v>62</v>
      </c>
      <c r="I409">
        <v>1200</v>
      </c>
      <c r="J409">
        <f>IF(Table1[[#This Row],[Tickets Sold]]&gt;500,8,5)</f>
        <v>8</v>
      </c>
      <c r="K409">
        <v>720</v>
      </c>
      <c r="L409" t="str">
        <f>VLOOKUP(H409,Descriptions!A:B, 2, FALSE)</f>
        <v>Seating Cat. 1</v>
      </c>
      <c r="M409">
        <f t="shared" ca="1" si="19"/>
        <v>-2267</v>
      </c>
      <c r="N409">
        <f t="shared" si="20"/>
        <v>1915.2</v>
      </c>
      <c r="O40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17-SC1Tom-Par23/7</v>
      </c>
    </row>
    <row r="410" spans="1:15" x14ac:dyDescent="0.3">
      <c r="A410" t="s">
        <v>6</v>
      </c>
      <c r="B410" t="s">
        <v>48</v>
      </c>
      <c r="C410" s="1">
        <v>42939</v>
      </c>
      <c r="D410" t="s">
        <v>79</v>
      </c>
      <c r="E410">
        <v>72</v>
      </c>
      <c r="F410">
        <f>IFERROR(VLOOKUP(E410,Margins!$A:$B,2,TRUE),"")</f>
        <v>0.1</v>
      </c>
      <c r="G410">
        <f t="shared" si="18"/>
        <v>2160</v>
      </c>
      <c r="H410" t="s">
        <v>63</v>
      </c>
      <c r="I410">
        <v>300</v>
      </c>
      <c r="J410">
        <f>IF(Table1[[#This Row],[Tickets Sold]]&gt;500,8,5)</f>
        <v>5</v>
      </c>
      <c r="K410">
        <v>246</v>
      </c>
      <c r="L410" t="str">
        <f>VLOOKUP(H410,Descriptions!A:B, 2, FALSE)</f>
        <v>Seating Cat. 2</v>
      </c>
      <c r="M410">
        <f t="shared" ca="1" si="19"/>
        <v>-2267</v>
      </c>
      <c r="N410">
        <f t="shared" si="20"/>
        <v>1771.2</v>
      </c>
      <c r="O41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17-SC2Tom-Par23/7</v>
      </c>
    </row>
    <row r="411" spans="1:15" x14ac:dyDescent="0.3">
      <c r="A411" t="s">
        <v>6</v>
      </c>
      <c r="B411" t="s">
        <v>48</v>
      </c>
      <c r="C411" s="1">
        <v>42939</v>
      </c>
      <c r="D411" t="s">
        <v>79</v>
      </c>
      <c r="E411">
        <v>300</v>
      </c>
      <c r="F411">
        <f>IFERROR(VLOOKUP(E411,Margins!$A:$B,2,TRUE),"")</f>
        <v>0.25</v>
      </c>
      <c r="G411">
        <f t="shared" si="18"/>
        <v>22500</v>
      </c>
      <c r="H411" t="s">
        <v>65</v>
      </c>
      <c r="I411">
        <v>300</v>
      </c>
      <c r="J411">
        <f>IF(Table1[[#This Row],[Tickets Sold]]&gt;500,8,5)</f>
        <v>5</v>
      </c>
      <c r="K411">
        <v>285</v>
      </c>
      <c r="L411" t="str">
        <f>VLOOKUP(H411,Descriptions!A:B, 2, FALSE)</f>
        <v>Ticket + Air travel Package</v>
      </c>
      <c r="M411">
        <f t="shared" ca="1" si="19"/>
        <v>-2267</v>
      </c>
      <c r="N411">
        <f t="shared" si="20"/>
        <v>21375</v>
      </c>
      <c r="O41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17-TA1Tom-Par23/7</v>
      </c>
    </row>
    <row r="412" spans="1:15" x14ac:dyDescent="0.3">
      <c r="A412" t="s">
        <v>6</v>
      </c>
      <c r="B412" t="s">
        <v>48</v>
      </c>
      <c r="C412" s="1">
        <v>42939</v>
      </c>
      <c r="D412" t="s">
        <v>79</v>
      </c>
      <c r="E412">
        <v>321</v>
      </c>
      <c r="F412">
        <f>IFERROR(VLOOKUP(E412,Margins!$A:$B,2,TRUE),"")</f>
        <v>0.25</v>
      </c>
      <c r="G412">
        <f t="shared" si="18"/>
        <v>24075</v>
      </c>
      <c r="H412" t="s">
        <v>66</v>
      </c>
      <c r="I412">
        <v>300</v>
      </c>
      <c r="J412">
        <f>IF(Table1[[#This Row],[Tickets Sold]]&gt;500,8,5)</f>
        <v>5</v>
      </c>
      <c r="K412">
        <v>285</v>
      </c>
      <c r="L412" t="str">
        <f>VLOOKUP(H412,Descriptions!A:B, 2, FALSE)</f>
        <v>Ticket + Air travel + Hotel Package</v>
      </c>
      <c r="M412">
        <f t="shared" ca="1" si="19"/>
        <v>-2267</v>
      </c>
      <c r="N412">
        <f t="shared" si="20"/>
        <v>22871.25</v>
      </c>
      <c r="O41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17-TA2Tom-Par23/7</v>
      </c>
    </row>
    <row r="413" spans="1:15" x14ac:dyDescent="0.3">
      <c r="A413" t="s">
        <v>6</v>
      </c>
      <c r="B413" t="s">
        <v>54</v>
      </c>
      <c r="C413" s="1">
        <v>42941</v>
      </c>
      <c r="D413" t="s">
        <v>79</v>
      </c>
      <c r="E413">
        <v>45</v>
      </c>
      <c r="F413">
        <f>IFERROR(VLOOKUP(E413,Margins!$A:$B,2,TRUE),"")</f>
        <v>7.0000000000000007E-2</v>
      </c>
      <c r="G413">
        <f t="shared" si="18"/>
        <v>27779.850000000002</v>
      </c>
      <c r="H413" t="s">
        <v>68</v>
      </c>
      <c r="I413">
        <v>8819</v>
      </c>
      <c r="J413">
        <f>IF(Table1[[#This Row],[Tickets Sold]]&gt;500,8,5)</f>
        <v>8</v>
      </c>
      <c r="K413">
        <v>7144</v>
      </c>
      <c r="L413" t="str">
        <f>VLOOKUP(H413,Descriptions!A:B, 2, FALSE)</f>
        <v>General Admission (1 day)</v>
      </c>
      <c r="M413">
        <f t="shared" ca="1" si="19"/>
        <v>-2267</v>
      </c>
      <c r="N413">
        <f t="shared" si="20"/>
        <v>22503.600000000002</v>
      </c>
      <c r="O41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17-GA1Tom-Ber25/7</v>
      </c>
    </row>
    <row r="414" spans="1:15" x14ac:dyDescent="0.3">
      <c r="A414" t="s">
        <v>6</v>
      </c>
      <c r="B414" t="s">
        <v>54</v>
      </c>
      <c r="C414" s="1">
        <v>42941</v>
      </c>
      <c r="D414" t="s">
        <v>79</v>
      </c>
      <c r="E414">
        <v>74</v>
      </c>
      <c r="F414">
        <f>IFERROR(VLOOKUP(E414,Margins!$A:$B,2,TRUE),"")</f>
        <v>0.1</v>
      </c>
      <c r="G414">
        <f t="shared" si="18"/>
        <v>5490.8</v>
      </c>
      <c r="H414" t="s">
        <v>62</v>
      </c>
      <c r="I414">
        <v>742</v>
      </c>
      <c r="J414">
        <f>IF(Table1[[#This Row],[Tickets Sold]]&gt;500,8,5)</f>
        <v>5</v>
      </c>
      <c r="K414">
        <v>490</v>
      </c>
      <c r="L414" t="str">
        <f>VLOOKUP(H414,Descriptions!A:B, 2, FALSE)</f>
        <v>Seating Cat. 1</v>
      </c>
      <c r="M414">
        <f t="shared" ca="1" si="19"/>
        <v>-2267</v>
      </c>
      <c r="N414">
        <f t="shared" si="20"/>
        <v>3626</v>
      </c>
      <c r="O41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17-SC1Tom-Ber25/7</v>
      </c>
    </row>
    <row r="415" spans="1:15" x14ac:dyDescent="0.3">
      <c r="A415" t="s">
        <v>6</v>
      </c>
      <c r="B415" t="s">
        <v>54</v>
      </c>
      <c r="C415" s="1">
        <v>42941</v>
      </c>
      <c r="D415" t="s">
        <v>79</v>
      </c>
      <c r="E415">
        <v>95</v>
      </c>
      <c r="F415">
        <f>IFERROR(VLOOKUP(E415,Margins!$A:$B,2,TRUE),"")</f>
        <v>0.1</v>
      </c>
      <c r="G415">
        <f t="shared" si="18"/>
        <v>3249</v>
      </c>
      <c r="H415" t="s">
        <v>63</v>
      </c>
      <c r="I415">
        <v>342</v>
      </c>
      <c r="J415">
        <f>IF(Table1[[#This Row],[Tickets Sold]]&gt;500,8,5)</f>
        <v>5</v>
      </c>
      <c r="K415">
        <v>206</v>
      </c>
      <c r="L415" t="str">
        <f>VLOOKUP(H415,Descriptions!A:B, 2, FALSE)</f>
        <v>Seating Cat. 2</v>
      </c>
      <c r="M415">
        <f t="shared" ca="1" si="19"/>
        <v>-2267</v>
      </c>
      <c r="N415">
        <f t="shared" si="20"/>
        <v>1957</v>
      </c>
      <c r="O41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17-SC2Tom-Ber25/7</v>
      </c>
    </row>
    <row r="416" spans="1:15" x14ac:dyDescent="0.3">
      <c r="A416" t="s">
        <v>6</v>
      </c>
      <c r="B416" t="s">
        <v>54</v>
      </c>
      <c r="C416" s="1">
        <v>42941</v>
      </c>
      <c r="D416" t="s">
        <v>79</v>
      </c>
      <c r="E416">
        <v>186</v>
      </c>
      <c r="F416">
        <f>IFERROR(VLOOKUP(E416,Margins!$A:$B,2,TRUE),"")</f>
        <v>0.15</v>
      </c>
      <c r="G416">
        <f t="shared" si="18"/>
        <v>8370</v>
      </c>
      <c r="H416" t="s">
        <v>65</v>
      </c>
      <c r="I416">
        <v>300</v>
      </c>
      <c r="J416">
        <f>IF(Table1[[#This Row],[Tickets Sold]]&gt;500,8,5)</f>
        <v>5</v>
      </c>
      <c r="K416">
        <v>150</v>
      </c>
      <c r="L416" t="str">
        <f>VLOOKUP(H416,Descriptions!A:B, 2, FALSE)</f>
        <v>Ticket + Air travel Package</v>
      </c>
      <c r="M416">
        <f t="shared" ca="1" si="19"/>
        <v>-2267</v>
      </c>
      <c r="N416">
        <f t="shared" si="20"/>
        <v>4185</v>
      </c>
      <c r="O41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17-TA1Tom-Ber25/7</v>
      </c>
    </row>
    <row r="417" spans="1:15" x14ac:dyDescent="0.3">
      <c r="A417" t="s">
        <v>6</v>
      </c>
      <c r="B417" t="s">
        <v>54</v>
      </c>
      <c r="C417" s="1">
        <v>42941</v>
      </c>
      <c r="D417" t="s">
        <v>79</v>
      </c>
      <c r="E417">
        <v>306</v>
      </c>
      <c r="F417">
        <f>IFERROR(VLOOKUP(E417,Margins!$A:$B,2,TRUE),"")</f>
        <v>0.25</v>
      </c>
      <c r="G417">
        <f t="shared" si="18"/>
        <v>22950</v>
      </c>
      <c r="H417" t="s">
        <v>66</v>
      </c>
      <c r="I417">
        <v>300</v>
      </c>
      <c r="J417">
        <f>IF(Table1[[#This Row],[Tickets Sold]]&gt;500,8,5)</f>
        <v>5</v>
      </c>
      <c r="K417">
        <v>201</v>
      </c>
      <c r="L417" t="str">
        <f>VLOOKUP(H417,Descriptions!A:B, 2, FALSE)</f>
        <v>Ticket + Air travel + Hotel Package</v>
      </c>
      <c r="M417">
        <f t="shared" ca="1" si="19"/>
        <v>-2267</v>
      </c>
      <c r="N417">
        <f t="shared" si="20"/>
        <v>15376.5</v>
      </c>
      <c r="O41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17-TA2Tom-Ber25/7</v>
      </c>
    </row>
    <row r="418" spans="1:15" x14ac:dyDescent="0.3">
      <c r="A418" t="s">
        <v>6</v>
      </c>
      <c r="B418" t="s">
        <v>2</v>
      </c>
      <c r="C418" s="1">
        <v>42975</v>
      </c>
      <c r="D418" t="s">
        <v>79</v>
      </c>
      <c r="E418">
        <v>45</v>
      </c>
      <c r="F418">
        <f>IFERROR(VLOOKUP(E418,Margins!$A:$B,2,TRUE),"")</f>
        <v>7.0000000000000007E-2</v>
      </c>
      <c r="G418">
        <f t="shared" si="18"/>
        <v>36735.300000000003</v>
      </c>
      <c r="H418" t="s">
        <v>68</v>
      </c>
      <c r="I418">
        <v>11662</v>
      </c>
      <c r="J418">
        <f>IF(Table1[[#This Row],[Tickets Sold]]&gt;500,8,5)</f>
        <v>8</v>
      </c>
      <c r="K418">
        <v>10263</v>
      </c>
      <c r="L418" t="str">
        <f>VLOOKUP(H418,Descriptions!A:B, 2, FALSE)</f>
        <v>General Admission (1 day)</v>
      </c>
      <c r="M418">
        <f t="shared" ca="1" si="19"/>
        <v>-2242</v>
      </c>
      <c r="N418">
        <f t="shared" si="20"/>
        <v>32328.450000000004</v>
      </c>
      <c r="O41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17-GA1Tom-Vie28/8</v>
      </c>
    </row>
    <row r="419" spans="1:15" x14ac:dyDescent="0.3">
      <c r="A419" t="s">
        <v>6</v>
      </c>
      <c r="B419" t="s">
        <v>2</v>
      </c>
      <c r="C419" s="1">
        <v>42975</v>
      </c>
      <c r="D419" t="s">
        <v>79</v>
      </c>
      <c r="E419">
        <v>50</v>
      </c>
      <c r="F419">
        <f>IFERROR(VLOOKUP(E419,Margins!$A:$B,2,TRUE),"")</f>
        <v>0.1</v>
      </c>
      <c r="G419">
        <f t="shared" si="18"/>
        <v>3410</v>
      </c>
      <c r="H419" t="s">
        <v>62</v>
      </c>
      <c r="I419">
        <v>682</v>
      </c>
      <c r="J419">
        <f>IF(Table1[[#This Row],[Tickets Sold]]&gt;500,8,5)</f>
        <v>8</v>
      </c>
      <c r="K419">
        <v>601</v>
      </c>
      <c r="L419" t="str">
        <f>VLOOKUP(H419,Descriptions!A:B, 2, FALSE)</f>
        <v>Seating Cat. 1</v>
      </c>
      <c r="M419">
        <f t="shared" ca="1" si="19"/>
        <v>-2242</v>
      </c>
      <c r="N419">
        <f t="shared" si="20"/>
        <v>3005</v>
      </c>
      <c r="O41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17-SC1Tom-Vie28/8</v>
      </c>
    </row>
    <row r="420" spans="1:15" x14ac:dyDescent="0.3">
      <c r="A420" t="s">
        <v>6</v>
      </c>
      <c r="B420" t="s">
        <v>2</v>
      </c>
      <c r="C420" s="1">
        <v>42975</v>
      </c>
      <c r="D420" t="s">
        <v>79</v>
      </c>
      <c r="E420">
        <v>100</v>
      </c>
      <c r="F420">
        <f>IFERROR(VLOOKUP(E420,Margins!$A:$B,2,TRUE),"")</f>
        <v>0.15</v>
      </c>
      <c r="G420">
        <f t="shared" si="18"/>
        <v>2940</v>
      </c>
      <c r="H420" t="s">
        <v>63</v>
      </c>
      <c r="I420">
        <v>196</v>
      </c>
      <c r="J420">
        <f>IF(Table1[[#This Row],[Tickets Sold]]&gt;500,8,5)</f>
        <v>5</v>
      </c>
      <c r="K420">
        <v>175</v>
      </c>
      <c r="L420" t="str">
        <f>VLOOKUP(H420,Descriptions!A:B, 2, FALSE)</f>
        <v>Seating Cat. 2</v>
      </c>
      <c r="M420">
        <f t="shared" ca="1" si="19"/>
        <v>-2242</v>
      </c>
      <c r="N420">
        <f t="shared" si="20"/>
        <v>2625</v>
      </c>
      <c r="O42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17-SC2Tom-Vie28/8</v>
      </c>
    </row>
    <row r="421" spans="1:15" x14ac:dyDescent="0.3">
      <c r="A421" t="s">
        <v>6</v>
      </c>
      <c r="B421" t="s">
        <v>2</v>
      </c>
      <c r="C421" s="1">
        <v>42975</v>
      </c>
      <c r="D421" t="s">
        <v>79</v>
      </c>
      <c r="E421">
        <v>200</v>
      </c>
      <c r="F421">
        <f>IFERROR(VLOOKUP(E421,Margins!$A:$B,2,TRUE),"")</f>
        <v>0.25</v>
      </c>
      <c r="G421">
        <f t="shared" si="18"/>
        <v>20000</v>
      </c>
      <c r="H421" t="s">
        <v>65</v>
      </c>
      <c r="I421">
        <v>400</v>
      </c>
      <c r="J421">
        <f>IF(Table1[[#This Row],[Tickets Sold]]&gt;500,8,5)</f>
        <v>5</v>
      </c>
      <c r="K421">
        <v>260</v>
      </c>
      <c r="L421" t="str">
        <f>VLOOKUP(H421,Descriptions!A:B, 2, FALSE)</f>
        <v>Ticket + Air travel Package</v>
      </c>
      <c r="M421">
        <f t="shared" ca="1" si="19"/>
        <v>-2242</v>
      </c>
      <c r="N421">
        <f t="shared" si="20"/>
        <v>13000</v>
      </c>
      <c r="O42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17-TA1Tom-Vie28/8</v>
      </c>
    </row>
    <row r="422" spans="1:15" x14ac:dyDescent="0.3">
      <c r="A422" t="s">
        <v>6</v>
      </c>
      <c r="B422" t="s">
        <v>2</v>
      </c>
      <c r="C422" s="1">
        <v>42975</v>
      </c>
      <c r="D422" t="s">
        <v>79</v>
      </c>
      <c r="E422">
        <v>336</v>
      </c>
      <c r="F422">
        <f>IFERROR(VLOOKUP(E422,Margins!$A:$B,2,TRUE),"")</f>
        <v>0.25</v>
      </c>
      <c r="G422">
        <f t="shared" si="18"/>
        <v>16800</v>
      </c>
      <c r="H422" t="s">
        <v>66</v>
      </c>
      <c r="I422">
        <v>200</v>
      </c>
      <c r="J422">
        <f>IF(Table1[[#This Row],[Tickets Sold]]&gt;500,8,5)</f>
        <v>5</v>
      </c>
      <c r="K422">
        <v>186</v>
      </c>
      <c r="L422" t="str">
        <f>VLOOKUP(H422,Descriptions!A:B, 2, FALSE)</f>
        <v>Ticket + Air travel + Hotel Package</v>
      </c>
      <c r="M422">
        <f t="shared" ca="1" si="19"/>
        <v>-2242</v>
      </c>
      <c r="N422">
        <f t="shared" si="20"/>
        <v>15624</v>
      </c>
      <c r="O42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17-TA2Tom-Vie28/8</v>
      </c>
    </row>
    <row r="423" spans="1:15" x14ac:dyDescent="0.3">
      <c r="A423" t="s">
        <v>22</v>
      </c>
      <c r="B423" t="s">
        <v>49</v>
      </c>
      <c r="C423" s="1">
        <v>42896</v>
      </c>
      <c r="D423" t="s">
        <v>20</v>
      </c>
      <c r="E423">
        <v>35</v>
      </c>
      <c r="F423">
        <f>IFERROR(VLOOKUP(E423,Margins!$A:$B,2,TRUE),"")</f>
        <v>7.0000000000000007E-2</v>
      </c>
      <c r="G423">
        <f t="shared" si="18"/>
        <v>2425.5</v>
      </c>
      <c r="H423" t="s">
        <v>62</v>
      </c>
      <c r="I423">
        <v>990</v>
      </c>
      <c r="J423">
        <f>IF(Table1[[#This Row],[Tickets Sold]]&gt;500,8,5)</f>
        <v>8</v>
      </c>
      <c r="K423">
        <v>812</v>
      </c>
      <c r="L423" t="str">
        <f>VLOOKUP(H423,Descriptions!A:B, 2, FALSE)</f>
        <v>Seating Cat. 1</v>
      </c>
      <c r="M423">
        <f t="shared" ca="1" si="19"/>
        <v>-2298</v>
      </c>
      <c r="N423">
        <f t="shared" si="20"/>
        <v>1989.4</v>
      </c>
      <c r="O42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17-SC1Tos-Nic10/6</v>
      </c>
    </row>
    <row r="424" spans="1:15" x14ac:dyDescent="0.3">
      <c r="A424" t="s">
        <v>22</v>
      </c>
      <c r="B424" t="s">
        <v>49</v>
      </c>
      <c r="C424" s="1">
        <v>42896</v>
      </c>
      <c r="D424" t="s">
        <v>20</v>
      </c>
      <c r="E424">
        <v>83</v>
      </c>
      <c r="F424">
        <f>IFERROR(VLOOKUP(E424,Margins!$A:$B,2,TRUE),"")</f>
        <v>0.1</v>
      </c>
      <c r="G424">
        <f t="shared" si="18"/>
        <v>4548.4000000000005</v>
      </c>
      <c r="H424" t="s">
        <v>63</v>
      </c>
      <c r="I424">
        <v>548</v>
      </c>
      <c r="J424">
        <f>IF(Table1[[#This Row],[Tickets Sold]]&gt;500,8,5)</f>
        <v>5</v>
      </c>
      <c r="K424">
        <v>335</v>
      </c>
      <c r="L424" t="str">
        <f>VLOOKUP(H424,Descriptions!A:B, 2, FALSE)</f>
        <v>Seating Cat. 2</v>
      </c>
      <c r="M424">
        <f t="shared" ca="1" si="19"/>
        <v>-2298</v>
      </c>
      <c r="N424">
        <f t="shared" si="20"/>
        <v>2780.5000000000005</v>
      </c>
      <c r="O42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17-SC2Tos-Nic10/6</v>
      </c>
    </row>
    <row r="425" spans="1:15" x14ac:dyDescent="0.3">
      <c r="A425" t="s">
        <v>22</v>
      </c>
      <c r="B425" t="s">
        <v>49</v>
      </c>
      <c r="C425" s="1">
        <v>42896</v>
      </c>
      <c r="D425" t="s">
        <v>20</v>
      </c>
      <c r="E425">
        <v>110</v>
      </c>
      <c r="F425">
        <f>IFERROR(VLOOKUP(E425,Margins!$A:$B,2,TRUE),"")</f>
        <v>0.15</v>
      </c>
      <c r="G425">
        <f t="shared" si="18"/>
        <v>5280</v>
      </c>
      <c r="H425" t="s">
        <v>64</v>
      </c>
      <c r="I425">
        <v>320</v>
      </c>
      <c r="J425">
        <f>IF(Table1[[#This Row],[Tickets Sold]]&gt;500,8,5)</f>
        <v>5</v>
      </c>
      <c r="K425">
        <v>180</v>
      </c>
      <c r="L425" t="str">
        <f>VLOOKUP(H425,Descriptions!A:B, 2, FALSE)</f>
        <v>Seating Cat. 3</v>
      </c>
      <c r="M425">
        <f t="shared" ca="1" si="19"/>
        <v>-2298</v>
      </c>
      <c r="N425">
        <f t="shared" si="20"/>
        <v>2970</v>
      </c>
      <c r="O42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17-SC3Tos-Nic10/6</v>
      </c>
    </row>
    <row r="426" spans="1:15" x14ac:dyDescent="0.3">
      <c r="A426" t="s">
        <v>22</v>
      </c>
      <c r="B426" t="s">
        <v>49</v>
      </c>
      <c r="C426" s="1">
        <v>42896</v>
      </c>
      <c r="D426" t="s">
        <v>20</v>
      </c>
      <c r="E426">
        <v>247</v>
      </c>
      <c r="F426">
        <f>IFERROR(VLOOKUP(E426,Margins!$A:$B,2,TRUE),"")</f>
        <v>0.25</v>
      </c>
      <c r="G426">
        <f t="shared" si="18"/>
        <v>18525</v>
      </c>
      <c r="H426" t="s">
        <v>65</v>
      </c>
      <c r="I426">
        <v>300</v>
      </c>
      <c r="J426">
        <f>IF(Table1[[#This Row],[Tickets Sold]]&gt;500,8,5)</f>
        <v>5</v>
      </c>
      <c r="K426">
        <v>204</v>
      </c>
      <c r="L426" t="str">
        <f>VLOOKUP(H426,Descriptions!A:B, 2, FALSE)</f>
        <v>Ticket + Air travel Package</v>
      </c>
      <c r="M426">
        <f t="shared" ca="1" si="19"/>
        <v>-2298</v>
      </c>
      <c r="N426">
        <f t="shared" si="20"/>
        <v>12597</v>
      </c>
      <c r="O42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17-TA1Tos-Nic10/6</v>
      </c>
    </row>
    <row r="427" spans="1:15" x14ac:dyDescent="0.3">
      <c r="A427" t="s">
        <v>22</v>
      </c>
      <c r="B427" t="s">
        <v>49</v>
      </c>
      <c r="C427" s="1">
        <v>42896</v>
      </c>
      <c r="D427" t="s">
        <v>20</v>
      </c>
      <c r="E427">
        <v>24</v>
      </c>
      <c r="F427">
        <f>IFERROR(VLOOKUP(E427,Margins!$A:$B,2,TRUE),"")</f>
        <v>7.0000000000000007E-2</v>
      </c>
      <c r="G427">
        <f t="shared" si="18"/>
        <v>117.60000000000001</v>
      </c>
      <c r="H427" t="s">
        <v>11</v>
      </c>
      <c r="I427">
        <v>70</v>
      </c>
      <c r="J427">
        <f>IF(Table1[[#This Row],[Tickets Sold]]&gt;500,8,5)</f>
        <v>5</v>
      </c>
      <c r="K427">
        <v>55</v>
      </c>
      <c r="L427" t="str">
        <f>VLOOKUP(H427,Descriptions!A:B, 2, FALSE)</f>
        <v>Parking place</v>
      </c>
      <c r="M427">
        <f t="shared" ca="1" si="19"/>
        <v>-2298</v>
      </c>
      <c r="N427">
        <f t="shared" si="20"/>
        <v>92.4</v>
      </c>
      <c r="O42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17-POSTos-Nic10/6</v>
      </c>
    </row>
    <row r="428" spans="1:15" x14ac:dyDescent="0.3">
      <c r="A428" t="s">
        <v>22</v>
      </c>
      <c r="B428" t="s">
        <v>49</v>
      </c>
      <c r="C428" s="1">
        <v>42896</v>
      </c>
      <c r="D428" t="s">
        <v>20</v>
      </c>
      <c r="E428">
        <v>362</v>
      </c>
      <c r="F428">
        <f>IFERROR(VLOOKUP(E428,Margins!$A:$B,2,TRUE),"")</f>
        <v>0.25</v>
      </c>
      <c r="G428">
        <f t="shared" si="18"/>
        <v>18100</v>
      </c>
      <c r="H428" t="s">
        <v>66</v>
      </c>
      <c r="I428">
        <v>200</v>
      </c>
      <c r="J428">
        <f>IF(Table1[[#This Row],[Tickets Sold]]&gt;500,8,5)</f>
        <v>5</v>
      </c>
      <c r="K428">
        <v>124</v>
      </c>
      <c r="L428" t="str">
        <f>VLOOKUP(H428,Descriptions!A:B, 2, FALSE)</f>
        <v>Ticket + Air travel + Hotel Package</v>
      </c>
      <c r="M428">
        <f t="shared" ca="1" si="19"/>
        <v>-2298</v>
      </c>
      <c r="N428">
        <f t="shared" si="20"/>
        <v>11222</v>
      </c>
      <c r="O42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17-TA2Tos-Nic10/6</v>
      </c>
    </row>
    <row r="429" spans="1:15" x14ac:dyDescent="0.3">
      <c r="A429" t="s">
        <v>22</v>
      </c>
      <c r="B429" t="s">
        <v>48</v>
      </c>
      <c r="C429" s="1">
        <v>42950</v>
      </c>
      <c r="D429" t="s">
        <v>20</v>
      </c>
      <c r="E429">
        <v>74</v>
      </c>
      <c r="F429">
        <f>IFERROR(VLOOKUP(E429,Margins!$A:$B,2,TRUE),"")</f>
        <v>0.1</v>
      </c>
      <c r="G429">
        <f t="shared" si="18"/>
        <v>10582</v>
      </c>
      <c r="H429" t="s">
        <v>62</v>
      </c>
      <c r="I429">
        <v>1430</v>
      </c>
      <c r="J429">
        <f>IF(Table1[[#This Row],[Tickets Sold]]&gt;500,8,5)</f>
        <v>8</v>
      </c>
      <c r="K429">
        <v>959</v>
      </c>
      <c r="L429" t="str">
        <f>VLOOKUP(H429,Descriptions!A:B, 2, FALSE)</f>
        <v>Seating Cat. 1</v>
      </c>
      <c r="M429">
        <f t="shared" ca="1" si="19"/>
        <v>-2260</v>
      </c>
      <c r="N429">
        <f t="shared" si="20"/>
        <v>7096.6</v>
      </c>
      <c r="O42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17-SC1Tos-Par3/8</v>
      </c>
    </row>
    <row r="430" spans="1:15" x14ac:dyDescent="0.3">
      <c r="A430" t="s">
        <v>22</v>
      </c>
      <c r="B430" t="s">
        <v>48</v>
      </c>
      <c r="C430" s="1">
        <v>42950</v>
      </c>
      <c r="D430" t="s">
        <v>20</v>
      </c>
      <c r="E430">
        <v>93</v>
      </c>
      <c r="F430">
        <f>IFERROR(VLOOKUP(E430,Margins!$A:$B,2,TRUE),"")</f>
        <v>0.1</v>
      </c>
      <c r="G430">
        <f t="shared" si="18"/>
        <v>6119.4000000000005</v>
      </c>
      <c r="H430" t="s">
        <v>63</v>
      </c>
      <c r="I430">
        <v>658</v>
      </c>
      <c r="J430">
        <f>IF(Table1[[#This Row],[Tickets Sold]]&gt;500,8,5)</f>
        <v>5</v>
      </c>
      <c r="K430">
        <v>474</v>
      </c>
      <c r="L430" t="str">
        <f>VLOOKUP(H430,Descriptions!A:B, 2, FALSE)</f>
        <v>Seating Cat. 2</v>
      </c>
      <c r="M430">
        <f t="shared" ca="1" si="19"/>
        <v>-2260</v>
      </c>
      <c r="N430">
        <f t="shared" si="20"/>
        <v>4408.2000000000007</v>
      </c>
      <c r="O43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17-SC2Tos-Par3/8</v>
      </c>
    </row>
    <row r="431" spans="1:15" x14ac:dyDescent="0.3">
      <c r="A431" t="s">
        <v>22</v>
      </c>
      <c r="B431" t="s">
        <v>48</v>
      </c>
      <c r="C431" s="1">
        <v>42950</v>
      </c>
      <c r="D431" t="s">
        <v>20</v>
      </c>
      <c r="E431">
        <v>152</v>
      </c>
      <c r="F431">
        <f>IFERROR(VLOOKUP(E431,Margins!$A:$B,2,TRUE),"")</f>
        <v>0.15</v>
      </c>
      <c r="G431">
        <f t="shared" si="18"/>
        <v>7296</v>
      </c>
      <c r="H431" t="s">
        <v>64</v>
      </c>
      <c r="I431">
        <v>320</v>
      </c>
      <c r="J431">
        <f>IF(Table1[[#This Row],[Tickets Sold]]&gt;500,8,5)</f>
        <v>5</v>
      </c>
      <c r="K431">
        <v>292</v>
      </c>
      <c r="L431" t="str">
        <f>VLOOKUP(H431,Descriptions!A:B, 2, FALSE)</f>
        <v>Seating Cat. 3</v>
      </c>
      <c r="M431">
        <f t="shared" ca="1" si="19"/>
        <v>-2260</v>
      </c>
      <c r="N431">
        <f t="shared" si="20"/>
        <v>6657.6</v>
      </c>
      <c r="O43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17-SC3Tos-Par3/8</v>
      </c>
    </row>
    <row r="432" spans="1:15" x14ac:dyDescent="0.3">
      <c r="A432" t="s">
        <v>22</v>
      </c>
      <c r="B432" t="s">
        <v>48</v>
      </c>
      <c r="C432" s="1">
        <v>42950</v>
      </c>
      <c r="D432" t="s">
        <v>20</v>
      </c>
      <c r="E432">
        <v>235</v>
      </c>
      <c r="F432">
        <f>IFERROR(VLOOKUP(E432,Margins!$A:$B,2,TRUE),"")</f>
        <v>0.25</v>
      </c>
      <c r="G432">
        <f t="shared" si="18"/>
        <v>17625</v>
      </c>
      <c r="H432" t="s">
        <v>65</v>
      </c>
      <c r="I432">
        <v>300</v>
      </c>
      <c r="J432">
        <f>IF(Table1[[#This Row],[Tickets Sold]]&gt;500,8,5)</f>
        <v>5</v>
      </c>
      <c r="K432">
        <v>255</v>
      </c>
      <c r="L432" t="str">
        <f>VLOOKUP(H432,Descriptions!A:B, 2, FALSE)</f>
        <v>Ticket + Air travel Package</v>
      </c>
      <c r="M432">
        <f t="shared" ca="1" si="19"/>
        <v>-2260</v>
      </c>
      <c r="N432">
        <f t="shared" si="20"/>
        <v>14981.25</v>
      </c>
      <c r="O43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17-TA1Tos-Par3/8</v>
      </c>
    </row>
    <row r="433" spans="1:15" x14ac:dyDescent="0.3">
      <c r="A433" t="s">
        <v>22</v>
      </c>
      <c r="B433" t="s">
        <v>48</v>
      </c>
      <c r="C433" s="1">
        <v>42950</v>
      </c>
      <c r="D433" t="s">
        <v>20</v>
      </c>
      <c r="E433">
        <v>18</v>
      </c>
      <c r="F433">
        <f>IFERROR(VLOOKUP(E433,Margins!$A:$B,2,TRUE),"")</f>
        <v>7.0000000000000007E-2</v>
      </c>
      <c r="G433">
        <f t="shared" si="18"/>
        <v>189.00000000000003</v>
      </c>
      <c r="H433" t="s">
        <v>11</v>
      </c>
      <c r="I433">
        <v>150</v>
      </c>
      <c r="J433">
        <f>IF(Table1[[#This Row],[Tickets Sold]]&gt;500,8,5)</f>
        <v>5</v>
      </c>
      <c r="K433">
        <v>92</v>
      </c>
      <c r="L433" t="str">
        <f>VLOOKUP(H433,Descriptions!A:B, 2, FALSE)</f>
        <v>Parking place</v>
      </c>
      <c r="M433">
        <f t="shared" ca="1" si="19"/>
        <v>-2260</v>
      </c>
      <c r="N433">
        <f t="shared" si="20"/>
        <v>115.92000000000002</v>
      </c>
      <c r="O43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17-POSTos-Par3/8</v>
      </c>
    </row>
    <row r="434" spans="1:15" x14ac:dyDescent="0.3">
      <c r="A434" t="s">
        <v>22</v>
      </c>
      <c r="B434" t="s">
        <v>48</v>
      </c>
      <c r="C434" s="1">
        <v>42950</v>
      </c>
      <c r="D434" t="s">
        <v>20</v>
      </c>
      <c r="E434">
        <v>345</v>
      </c>
      <c r="F434">
        <f>IFERROR(VLOOKUP(E434,Margins!$A:$B,2,TRUE),"")</f>
        <v>0.25</v>
      </c>
      <c r="G434">
        <f t="shared" si="18"/>
        <v>34500</v>
      </c>
      <c r="H434" t="s">
        <v>66</v>
      </c>
      <c r="I434">
        <v>400</v>
      </c>
      <c r="J434">
        <f>IF(Table1[[#This Row],[Tickets Sold]]&gt;500,8,5)</f>
        <v>5</v>
      </c>
      <c r="K434">
        <v>212</v>
      </c>
      <c r="L434" t="str">
        <f>VLOOKUP(H434,Descriptions!A:B, 2, FALSE)</f>
        <v>Ticket + Air travel + Hotel Package</v>
      </c>
      <c r="M434">
        <f t="shared" ca="1" si="19"/>
        <v>-2260</v>
      </c>
      <c r="N434">
        <f t="shared" si="20"/>
        <v>18285</v>
      </c>
      <c r="O43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17-TA2Tos-Par3/8</v>
      </c>
    </row>
    <row r="435" spans="1:15" x14ac:dyDescent="0.3">
      <c r="A435" t="s">
        <v>22</v>
      </c>
      <c r="B435" t="s">
        <v>30</v>
      </c>
      <c r="C435" s="1">
        <v>42975</v>
      </c>
      <c r="D435" t="s">
        <v>20</v>
      </c>
      <c r="E435">
        <v>34</v>
      </c>
      <c r="F435">
        <f>IFERROR(VLOOKUP(E435,Margins!$A:$B,2,TRUE),"")</f>
        <v>7.0000000000000007E-2</v>
      </c>
      <c r="G435">
        <f t="shared" si="18"/>
        <v>2998.8000000000006</v>
      </c>
      <c r="H435" t="s">
        <v>62</v>
      </c>
      <c r="I435">
        <v>1260</v>
      </c>
      <c r="J435">
        <f>IF(Table1[[#This Row],[Tickets Sold]]&gt;500,8,5)</f>
        <v>8</v>
      </c>
      <c r="K435">
        <v>719</v>
      </c>
      <c r="L435" t="str">
        <f>VLOOKUP(H435,Descriptions!A:B, 2, FALSE)</f>
        <v>Seating Cat. 1</v>
      </c>
      <c r="M435">
        <f t="shared" ca="1" si="19"/>
        <v>-2242</v>
      </c>
      <c r="N435">
        <f t="shared" si="20"/>
        <v>1711.2200000000003</v>
      </c>
      <c r="O43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17-SC1Tos-Ams28/8</v>
      </c>
    </row>
    <row r="436" spans="1:15" x14ac:dyDescent="0.3">
      <c r="A436" t="s">
        <v>22</v>
      </c>
      <c r="B436" t="s">
        <v>30</v>
      </c>
      <c r="C436" s="1">
        <v>42975</v>
      </c>
      <c r="D436" t="s">
        <v>20</v>
      </c>
      <c r="E436">
        <v>97</v>
      </c>
      <c r="F436">
        <f>IFERROR(VLOOKUP(E436,Margins!$A:$B,2,TRUE),"")</f>
        <v>0.1</v>
      </c>
      <c r="G436">
        <f t="shared" si="18"/>
        <v>6615.4000000000005</v>
      </c>
      <c r="H436" t="s">
        <v>63</v>
      </c>
      <c r="I436">
        <v>682</v>
      </c>
      <c r="J436">
        <f>IF(Table1[[#This Row],[Tickets Sold]]&gt;500,8,5)</f>
        <v>8</v>
      </c>
      <c r="K436">
        <v>505</v>
      </c>
      <c r="L436" t="str">
        <f>VLOOKUP(H436,Descriptions!A:B, 2, FALSE)</f>
        <v>Seating Cat. 2</v>
      </c>
      <c r="M436">
        <f t="shared" ca="1" si="19"/>
        <v>-2242</v>
      </c>
      <c r="N436">
        <f t="shared" si="20"/>
        <v>4898.5000000000009</v>
      </c>
      <c r="O43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17-SC2Tos-Ams28/8</v>
      </c>
    </row>
    <row r="437" spans="1:15" x14ac:dyDescent="0.3">
      <c r="A437" t="s">
        <v>22</v>
      </c>
      <c r="B437" t="s">
        <v>30</v>
      </c>
      <c r="C437" s="1">
        <v>42975</v>
      </c>
      <c r="D437" t="s">
        <v>20</v>
      </c>
      <c r="E437">
        <v>130</v>
      </c>
      <c r="F437">
        <f>IFERROR(VLOOKUP(E437,Margins!$A:$B,2,TRUE),"")</f>
        <v>0.15</v>
      </c>
      <c r="G437">
        <f t="shared" si="18"/>
        <v>8229</v>
      </c>
      <c r="H437" t="s">
        <v>64</v>
      </c>
      <c r="I437">
        <v>422</v>
      </c>
      <c r="J437">
        <f>IF(Table1[[#This Row],[Tickets Sold]]&gt;500,8,5)</f>
        <v>5</v>
      </c>
      <c r="K437">
        <v>292</v>
      </c>
      <c r="L437" t="str">
        <f>VLOOKUP(H437,Descriptions!A:B, 2, FALSE)</f>
        <v>Seating Cat. 3</v>
      </c>
      <c r="M437">
        <f t="shared" ca="1" si="19"/>
        <v>-2242</v>
      </c>
      <c r="N437">
        <f t="shared" si="20"/>
        <v>5694</v>
      </c>
      <c r="O43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17-SC3Tos-Ams28/8</v>
      </c>
    </row>
    <row r="438" spans="1:15" x14ac:dyDescent="0.3">
      <c r="A438" t="s">
        <v>22</v>
      </c>
      <c r="B438" t="s">
        <v>30</v>
      </c>
      <c r="C438" s="1">
        <v>42975</v>
      </c>
      <c r="D438" t="s">
        <v>20</v>
      </c>
      <c r="E438">
        <v>294</v>
      </c>
      <c r="F438">
        <f>IFERROR(VLOOKUP(E438,Margins!$A:$B,2,TRUE),"")</f>
        <v>0.25</v>
      </c>
      <c r="G438">
        <f t="shared" si="18"/>
        <v>22050</v>
      </c>
      <c r="H438" t="s">
        <v>65</v>
      </c>
      <c r="I438">
        <v>300</v>
      </c>
      <c r="J438">
        <f>IF(Table1[[#This Row],[Tickets Sold]]&gt;500,8,5)</f>
        <v>5</v>
      </c>
      <c r="K438">
        <v>153</v>
      </c>
      <c r="L438" t="str">
        <f>VLOOKUP(H438,Descriptions!A:B, 2, FALSE)</f>
        <v>Ticket + Air travel Package</v>
      </c>
      <c r="M438">
        <f t="shared" ca="1" si="19"/>
        <v>-2242</v>
      </c>
      <c r="N438">
        <f t="shared" si="20"/>
        <v>11245.5</v>
      </c>
      <c r="O43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17-TA1Tos-Ams28/8</v>
      </c>
    </row>
    <row r="439" spans="1:15" x14ac:dyDescent="0.3">
      <c r="A439" t="s">
        <v>22</v>
      </c>
      <c r="B439" t="s">
        <v>30</v>
      </c>
      <c r="C439" s="1">
        <v>42975</v>
      </c>
      <c r="D439" t="s">
        <v>20</v>
      </c>
      <c r="E439">
        <v>26</v>
      </c>
      <c r="F439">
        <f>IFERROR(VLOOKUP(E439,Margins!$A:$B,2,TRUE),"")</f>
        <v>7.0000000000000007E-2</v>
      </c>
      <c r="G439">
        <f t="shared" si="18"/>
        <v>273.00000000000006</v>
      </c>
      <c r="H439" t="s">
        <v>11</v>
      </c>
      <c r="I439">
        <v>150</v>
      </c>
      <c r="J439">
        <f>IF(Table1[[#This Row],[Tickets Sold]]&gt;500,8,5)</f>
        <v>5</v>
      </c>
      <c r="K439">
        <v>107</v>
      </c>
      <c r="L439" t="str">
        <f>VLOOKUP(H439,Descriptions!A:B, 2, FALSE)</f>
        <v>Parking place</v>
      </c>
      <c r="M439">
        <f t="shared" ca="1" si="19"/>
        <v>-2242</v>
      </c>
      <c r="N439">
        <f t="shared" si="20"/>
        <v>194.74000000000004</v>
      </c>
      <c r="O43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17-POSTos-Ams28/8</v>
      </c>
    </row>
    <row r="440" spans="1:15" x14ac:dyDescent="0.3">
      <c r="A440" t="s">
        <v>22</v>
      </c>
      <c r="B440" t="s">
        <v>30</v>
      </c>
      <c r="C440" s="1">
        <v>42975</v>
      </c>
      <c r="D440" t="s">
        <v>20</v>
      </c>
      <c r="E440">
        <v>354</v>
      </c>
      <c r="F440">
        <f>IFERROR(VLOOKUP(E440,Margins!$A:$B,2,TRUE),"")</f>
        <v>0.25</v>
      </c>
      <c r="G440">
        <f t="shared" si="18"/>
        <v>35400</v>
      </c>
      <c r="H440" t="s">
        <v>66</v>
      </c>
      <c r="I440">
        <v>400</v>
      </c>
      <c r="J440">
        <f>IF(Table1[[#This Row],[Tickets Sold]]&gt;500,8,5)</f>
        <v>5</v>
      </c>
      <c r="K440">
        <v>272</v>
      </c>
      <c r="L440" t="str">
        <f>VLOOKUP(H440,Descriptions!A:B, 2, FALSE)</f>
        <v>Ticket + Air travel + Hotel Package</v>
      </c>
      <c r="M440">
        <f t="shared" ca="1" si="19"/>
        <v>-2242</v>
      </c>
      <c r="N440">
        <f t="shared" si="20"/>
        <v>24072</v>
      </c>
      <c r="O44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17-TA2Tos-Ams28/8</v>
      </c>
    </row>
    <row r="441" spans="1:15" x14ac:dyDescent="0.3">
      <c r="A441" t="s">
        <v>18</v>
      </c>
      <c r="B441" t="s">
        <v>56</v>
      </c>
      <c r="C441" s="1">
        <v>42923</v>
      </c>
      <c r="D441" t="s">
        <v>20</v>
      </c>
      <c r="E441">
        <v>35</v>
      </c>
      <c r="F441">
        <f>IFERROR(VLOOKUP(E441,Margins!$A:$B,2,TRUE),"")</f>
        <v>7.0000000000000007E-2</v>
      </c>
      <c r="G441">
        <f t="shared" si="18"/>
        <v>2303</v>
      </c>
      <c r="H441" t="s">
        <v>62</v>
      </c>
      <c r="I441">
        <v>940</v>
      </c>
      <c r="J441">
        <f>IF(Table1[[#This Row],[Tickets Sold]]&gt;500,8,5)</f>
        <v>8</v>
      </c>
      <c r="K441">
        <v>527</v>
      </c>
      <c r="L441" t="str">
        <f>VLOOKUP(H441,Descriptions!A:B, 2, FALSE)</f>
        <v>Seating Cat. 1</v>
      </c>
      <c r="M441">
        <f t="shared" ca="1" si="19"/>
        <v>-2279</v>
      </c>
      <c r="N441">
        <f t="shared" si="20"/>
        <v>1291.1500000000001</v>
      </c>
      <c r="O44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17-SC1Tur-Edi7/7</v>
      </c>
    </row>
    <row r="442" spans="1:15" x14ac:dyDescent="0.3">
      <c r="A442" t="s">
        <v>18</v>
      </c>
      <c r="B442" t="s">
        <v>56</v>
      </c>
      <c r="C442" s="1">
        <v>42923</v>
      </c>
      <c r="D442" t="s">
        <v>20</v>
      </c>
      <c r="E442">
        <v>97</v>
      </c>
      <c r="F442">
        <f>IFERROR(VLOOKUP(E442,Margins!$A:$B,2,TRUE),"")</f>
        <v>0.1</v>
      </c>
      <c r="G442">
        <f t="shared" si="18"/>
        <v>3492.0000000000005</v>
      </c>
      <c r="H442" t="s">
        <v>63</v>
      </c>
      <c r="I442">
        <v>360</v>
      </c>
      <c r="J442">
        <f>IF(Table1[[#This Row],[Tickets Sold]]&gt;500,8,5)</f>
        <v>5</v>
      </c>
      <c r="K442">
        <v>270</v>
      </c>
      <c r="L442" t="str">
        <f>VLOOKUP(H442,Descriptions!A:B, 2, FALSE)</f>
        <v>Seating Cat. 2</v>
      </c>
      <c r="M442">
        <f t="shared" ca="1" si="19"/>
        <v>-2279</v>
      </c>
      <c r="N442">
        <f t="shared" si="20"/>
        <v>2619.0000000000005</v>
      </c>
      <c r="O44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17-SC2Tur-Edi7/7</v>
      </c>
    </row>
    <row r="443" spans="1:15" x14ac:dyDescent="0.3">
      <c r="A443" t="s">
        <v>18</v>
      </c>
      <c r="B443" t="s">
        <v>56</v>
      </c>
      <c r="C443" s="1">
        <v>42923</v>
      </c>
      <c r="D443" t="s">
        <v>20</v>
      </c>
      <c r="E443">
        <v>152</v>
      </c>
      <c r="F443">
        <f>IFERROR(VLOOKUP(E443,Margins!$A:$B,2,TRUE),"")</f>
        <v>0.15</v>
      </c>
      <c r="G443">
        <f t="shared" si="18"/>
        <v>5700</v>
      </c>
      <c r="H443" t="s">
        <v>64</v>
      </c>
      <c r="I443">
        <v>250</v>
      </c>
      <c r="J443">
        <f>IF(Table1[[#This Row],[Tickets Sold]]&gt;500,8,5)</f>
        <v>5</v>
      </c>
      <c r="K443">
        <v>175</v>
      </c>
      <c r="L443" t="str">
        <f>VLOOKUP(H443,Descriptions!A:B, 2, FALSE)</f>
        <v>Seating Cat. 3</v>
      </c>
      <c r="M443">
        <f t="shared" ca="1" si="19"/>
        <v>-2279</v>
      </c>
      <c r="N443">
        <f t="shared" si="20"/>
        <v>3990</v>
      </c>
      <c r="O44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17-SC3Tur-Edi7/7</v>
      </c>
    </row>
    <row r="444" spans="1:15" x14ac:dyDescent="0.3">
      <c r="A444" t="s">
        <v>18</v>
      </c>
      <c r="B444" t="s">
        <v>56</v>
      </c>
      <c r="C444" s="1">
        <v>42923</v>
      </c>
      <c r="D444" t="s">
        <v>20</v>
      </c>
      <c r="E444">
        <v>272</v>
      </c>
      <c r="F444">
        <f>IFERROR(VLOOKUP(E444,Margins!$A:$B,2,TRUE),"")</f>
        <v>0.25</v>
      </c>
      <c r="G444">
        <f t="shared" si="18"/>
        <v>20400</v>
      </c>
      <c r="H444" t="s">
        <v>65</v>
      </c>
      <c r="I444">
        <v>300</v>
      </c>
      <c r="J444">
        <f>IF(Table1[[#This Row],[Tickets Sold]]&gt;500,8,5)</f>
        <v>5</v>
      </c>
      <c r="K444">
        <v>195</v>
      </c>
      <c r="L444" t="str">
        <f>VLOOKUP(H444,Descriptions!A:B, 2, FALSE)</f>
        <v>Ticket + Air travel Package</v>
      </c>
      <c r="M444">
        <f t="shared" ca="1" si="19"/>
        <v>-2279</v>
      </c>
      <c r="N444">
        <f t="shared" si="20"/>
        <v>13260</v>
      </c>
      <c r="O44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17-TA1Tur-Edi7/7</v>
      </c>
    </row>
    <row r="445" spans="1:15" x14ac:dyDescent="0.3">
      <c r="A445" t="s">
        <v>18</v>
      </c>
      <c r="B445" t="s">
        <v>56</v>
      </c>
      <c r="C445" s="1">
        <v>42923</v>
      </c>
      <c r="D445" t="s">
        <v>20</v>
      </c>
      <c r="E445">
        <v>17</v>
      </c>
      <c r="F445">
        <f>IFERROR(VLOOKUP(E445,Margins!$A:$B,2,TRUE),"")</f>
        <v>7.0000000000000007E-2</v>
      </c>
      <c r="G445">
        <f t="shared" si="18"/>
        <v>119.00000000000001</v>
      </c>
      <c r="H445" t="s">
        <v>11</v>
      </c>
      <c r="I445">
        <v>100</v>
      </c>
      <c r="J445">
        <f>IF(Table1[[#This Row],[Tickets Sold]]&gt;500,8,5)</f>
        <v>5</v>
      </c>
      <c r="K445">
        <v>90</v>
      </c>
      <c r="L445" t="str">
        <f>VLOOKUP(H445,Descriptions!A:B, 2, FALSE)</f>
        <v>Parking place</v>
      </c>
      <c r="M445">
        <f t="shared" ca="1" si="19"/>
        <v>-2279</v>
      </c>
      <c r="N445">
        <f t="shared" si="20"/>
        <v>107.10000000000001</v>
      </c>
      <c r="O44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17-POSTur-Edi7/7</v>
      </c>
    </row>
    <row r="446" spans="1:15" x14ac:dyDescent="0.3">
      <c r="A446" t="s">
        <v>18</v>
      </c>
      <c r="B446" t="s">
        <v>56</v>
      </c>
      <c r="C446" s="1">
        <v>42923</v>
      </c>
      <c r="D446" t="s">
        <v>20</v>
      </c>
      <c r="E446">
        <v>342</v>
      </c>
      <c r="F446">
        <f>IFERROR(VLOOKUP(E446,Margins!$A:$B,2,TRUE),"")</f>
        <v>0.25</v>
      </c>
      <c r="G446">
        <f t="shared" si="18"/>
        <v>25650</v>
      </c>
      <c r="H446" t="s">
        <v>66</v>
      </c>
      <c r="I446">
        <v>300</v>
      </c>
      <c r="J446">
        <f>IF(Table1[[#This Row],[Tickets Sold]]&gt;500,8,5)</f>
        <v>5</v>
      </c>
      <c r="K446">
        <v>285</v>
      </c>
      <c r="L446" t="str">
        <f>VLOOKUP(H446,Descriptions!A:B, 2, FALSE)</f>
        <v>Ticket + Air travel + Hotel Package</v>
      </c>
      <c r="M446">
        <f t="shared" ca="1" si="19"/>
        <v>-2279</v>
      </c>
      <c r="N446">
        <f t="shared" si="20"/>
        <v>24367.5</v>
      </c>
      <c r="O44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17-TA2Tur-Edi7/7</v>
      </c>
    </row>
    <row r="447" spans="1:15" x14ac:dyDescent="0.3">
      <c r="A447" t="s">
        <v>18</v>
      </c>
      <c r="B447" t="s">
        <v>2</v>
      </c>
      <c r="C447" s="1">
        <v>42965</v>
      </c>
      <c r="D447" t="s">
        <v>20</v>
      </c>
      <c r="E447">
        <v>61</v>
      </c>
      <c r="F447">
        <f>IFERROR(VLOOKUP(E447,Margins!$A:$B,2,TRUE),"")</f>
        <v>0.1</v>
      </c>
      <c r="G447">
        <f t="shared" si="18"/>
        <v>18300</v>
      </c>
      <c r="H447" t="s">
        <v>62</v>
      </c>
      <c r="I447">
        <v>3000</v>
      </c>
      <c r="J447">
        <f>IF(Table1[[#This Row],[Tickets Sold]]&gt;500,8,5)</f>
        <v>8</v>
      </c>
      <c r="K447">
        <v>1950</v>
      </c>
      <c r="L447" t="str">
        <f>VLOOKUP(H447,Descriptions!A:B, 2, FALSE)</f>
        <v>Seating Cat. 1</v>
      </c>
      <c r="M447">
        <f t="shared" ca="1" si="19"/>
        <v>-2249</v>
      </c>
      <c r="N447">
        <f t="shared" si="20"/>
        <v>11895.000000000002</v>
      </c>
      <c r="O44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17-SC1Tur-Vie18/8</v>
      </c>
    </row>
    <row r="448" spans="1:15" x14ac:dyDescent="0.3">
      <c r="A448" t="s">
        <v>18</v>
      </c>
      <c r="B448" t="s">
        <v>2</v>
      </c>
      <c r="C448" s="1">
        <v>42965</v>
      </c>
      <c r="D448" t="s">
        <v>20</v>
      </c>
      <c r="E448">
        <v>106</v>
      </c>
      <c r="F448">
        <f>IFERROR(VLOOKUP(E448,Margins!$A:$B,2,TRUE),"")</f>
        <v>0.15</v>
      </c>
      <c r="G448">
        <f t="shared" si="18"/>
        <v>15899.999999999998</v>
      </c>
      <c r="H448" t="s">
        <v>63</v>
      </c>
      <c r="I448">
        <v>1000</v>
      </c>
      <c r="J448">
        <f>IF(Table1[[#This Row],[Tickets Sold]]&gt;500,8,5)</f>
        <v>5</v>
      </c>
      <c r="K448">
        <v>500</v>
      </c>
      <c r="L448" t="str">
        <f>VLOOKUP(H448,Descriptions!A:B, 2, FALSE)</f>
        <v>Seating Cat. 2</v>
      </c>
      <c r="M448">
        <f t="shared" ca="1" si="19"/>
        <v>-2249</v>
      </c>
      <c r="N448">
        <f t="shared" si="20"/>
        <v>7949.9999999999991</v>
      </c>
      <c r="O44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17-SC2Tur-Vie18/8</v>
      </c>
    </row>
    <row r="449" spans="1:15" x14ac:dyDescent="0.3">
      <c r="A449" t="s">
        <v>18</v>
      </c>
      <c r="B449" t="s">
        <v>2</v>
      </c>
      <c r="C449" s="1">
        <v>42965</v>
      </c>
      <c r="D449" t="s">
        <v>20</v>
      </c>
      <c r="E449">
        <v>161</v>
      </c>
      <c r="F449">
        <f>IFERROR(VLOOKUP(E449,Margins!$A:$B,2,TRUE),"")</f>
        <v>0.15</v>
      </c>
      <c r="G449">
        <f t="shared" si="18"/>
        <v>12075</v>
      </c>
      <c r="H449" t="s">
        <v>64</v>
      </c>
      <c r="I449">
        <v>500</v>
      </c>
      <c r="J449">
        <f>IF(Table1[[#This Row],[Tickets Sold]]&gt;500,8,5)</f>
        <v>5</v>
      </c>
      <c r="K449">
        <v>270</v>
      </c>
      <c r="L449" t="str">
        <f>VLOOKUP(H449,Descriptions!A:B, 2, FALSE)</f>
        <v>Seating Cat. 3</v>
      </c>
      <c r="M449">
        <f t="shared" ca="1" si="19"/>
        <v>-2249</v>
      </c>
      <c r="N449">
        <f t="shared" si="20"/>
        <v>6520.5</v>
      </c>
      <c r="O44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17-SC3Tur-Vie18/8</v>
      </c>
    </row>
    <row r="450" spans="1:15" x14ac:dyDescent="0.3">
      <c r="A450" t="s">
        <v>18</v>
      </c>
      <c r="B450" t="s">
        <v>2</v>
      </c>
      <c r="C450" s="1">
        <v>42965</v>
      </c>
      <c r="D450" t="s">
        <v>20</v>
      </c>
      <c r="E450">
        <v>238</v>
      </c>
      <c r="F450">
        <f>IFERROR(VLOOKUP(E450,Margins!$A:$B,2,TRUE),"")</f>
        <v>0.25</v>
      </c>
      <c r="G450">
        <f t="shared" ref="G450:G493" si="21">IFERROR(E450*F450*I450,"")</f>
        <v>23800</v>
      </c>
      <c r="H450" t="s">
        <v>65</v>
      </c>
      <c r="I450">
        <v>400</v>
      </c>
      <c r="J450">
        <f>IF(Table1[[#This Row],[Tickets Sold]]&gt;500,8,5)</f>
        <v>5</v>
      </c>
      <c r="K450">
        <v>332</v>
      </c>
      <c r="L450" t="str">
        <f>VLOOKUP(H450,Descriptions!A:B, 2, FALSE)</f>
        <v>Ticket + Air travel Package</v>
      </c>
      <c r="M450">
        <f t="shared" ref="M450:M493" ca="1" si="22">NETWORKDAYS(TODAY(), C450-1)</f>
        <v>-2249</v>
      </c>
      <c r="N450">
        <f t="shared" si="20"/>
        <v>19754</v>
      </c>
      <c r="O45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17-TA1Tur-Vie18/8</v>
      </c>
    </row>
    <row r="451" spans="1:15" x14ac:dyDescent="0.3">
      <c r="A451" t="s">
        <v>18</v>
      </c>
      <c r="B451" t="s">
        <v>2</v>
      </c>
      <c r="C451" s="1">
        <v>42965</v>
      </c>
      <c r="D451" t="s">
        <v>20</v>
      </c>
      <c r="E451">
        <v>10</v>
      </c>
      <c r="F451">
        <f>IFERROR(VLOOKUP(E451,Margins!$A:$B,2,TRUE),"")</f>
        <v>7.0000000000000007E-2</v>
      </c>
      <c r="G451">
        <f t="shared" si="21"/>
        <v>31.500000000000004</v>
      </c>
      <c r="H451" t="s">
        <v>11</v>
      </c>
      <c r="I451">
        <v>45</v>
      </c>
      <c r="J451">
        <f>IF(Table1[[#This Row],[Tickets Sold]]&gt;500,8,5)</f>
        <v>5</v>
      </c>
      <c r="K451">
        <v>38</v>
      </c>
      <c r="L451" t="str">
        <f>VLOOKUP(H451,Descriptions!A:B, 2, FALSE)</f>
        <v>Parking place</v>
      </c>
      <c r="M451">
        <f t="shared" ca="1" si="22"/>
        <v>-2249</v>
      </c>
      <c r="N451">
        <f t="shared" ref="N451:N493" si="23">E451*F451*K451</f>
        <v>26.6</v>
      </c>
      <c r="O45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17-POSTur-Vie18/8</v>
      </c>
    </row>
    <row r="452" spans="1:15" x14ac:dyDescent="0.3">
      <c r="A452" t="s">
        <v>18</v>
      </c>
      <c r="B452" t="s">
        <v>2</v>
      </c>
      <c r="C452" s="1">
        <v>42965</v>
      </c>
      <c r="D452" t="s">
        <v>20</v>
      </c>
      <c r="E452">
        <v>391</v>
      </c>
      <c r="F452">
        <f>IFERROR(VLOOKUP(E452,Margins!$A:$B,2,TRUE),"")</f>
        <v>0.25</v>
      </c>
      <c r="G452">
        <f t="shared" si="21"/>
        <v>29325</v>
      </c>
      <c r="H452" t="s">
        <v>66</v>
      </c>
      <c r="I452">
        <v>300</v>
      </c>
      <c r="J452">
        <f>IF(Table1[[#This Row],[Tickets Sold]]&gt;500,8,5)</f>
        <v>5</v>
      </c>
      <c r="K452">
        <v>201</v>
      </c>
      <c r="L452" t="str">
        <f>VLOOKUP(H452,Descriptions!A:B, 2, FALSE)</f>
        <v>Ticket + Air travel + Hotel Package</v>
      </c>
      <c r="M452">
        <f t="shared" ca="1" si="22"/>
        <v>-2249</v>
      </c>
      <c r="N452">
        <f t="shared" si="23"/>
        <v>19647.75</v>
      </c>
      <c r="O45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17-TA2Tur-Vie18/8</v>
      </c>
    </row>
    <row r="453" spans="1:15" x14ac:dyDescent="0.3">
      <c r="A453" t="s">
        <v>18</v>
      </c>
      <c r="B453" t="s">
        <v>51</v>
      </c>
      <c r="C453" s="1">
        <v>42968</v>
      </c>
      <c r="D453" t="s">
        <v>20</v>
      </c>
      <c r="E453">
        <v>48</v>
      </c>
      <c r="F453">
        <f>IFERROR(VLOOKUP(E453,Margins!$A:$B,2,TRUE),"")</f>
        <v>7.0000000000000007E-2</v>
      </c>
      <c r="G453">
        <f t="shared" si="21"/>
        <v>6720.0000000000009</v>
      </c>
      <c r="H453" t="s">
        <v>62</v>
      </c>
      <c r="I453">
        <v>2000</v>
      </c>
      <c r="J453">
        <f>IF(Table1[[#This Row],[Tickets Sold]]&gt;500,8,5)</f>
        <v>8</v>
      </c>
      <c r="K453">
        <v>1720</v>
      </c>
      <c r="L453" t="str">
        <f>VLOOKUP(H453,Descriptions!A:B, 2, FALSE)</f>
        <v>Seating Cat. 1</v>
      </c>
      <c r="M453">
        <f t="shared" ca="1" si="22"/>
        <v>-2247</v>
      </c>
      <c r="N453">
        <f t="shared" si="23"/>
        <v>5779.2000000000007</v>
      </c>
      <c r="O45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17-SC1Tur-Bar21/8</v>
      </c>
    </row>
    <row r="454" spans="1:15" x14ac:dyDescent="0.3">
      <c r="A454" t="s">
        <v>18</v>
      </c>
      <c r="B454" t="s">
        <v>51</v>
      </c>
      <c r="C454" s="1">
        <v>42968</v>
      </c>
      <c r="D454" t="s">
        <v>20</v>
      </c>
      <c r="E454">
        <v>72</v>
      </c>
      <c r="F454">
        <f>IFERROR(VLOOKUP(E454,Margins!$A:$B,2,TRUE),"")</f>
        <v>0.1</v>
      </c>
      <c r="G454">
        <f t="shared" si="21"/>
        <v>2880</v>
      </c>
      <c r="H454" t="s">
        <v>63</v>
      </c>
      <c r="I454">
        <v>400</v>
      </c>
      <c r="J454">
        <f>IF(Table1[[#This Row],[Tickets Sold]]&gt;500,8,5)</f>
        <v>5</v>
      </c>
      <c r="K454">
        <v>272</v>
      </c>
      <c r="L454" t="str">
        <f>VLOOKUP(H454,Descriptions!A:B, 2, FALSE)</f>
        <v>Seating Cat. 2</v>
      </c>
      <c r="M454">
        <f t="shared" ca="1" si="22"/>
        <v>-2247</v>
      </c>
      <c r="N454">
        <f t="shared" si="23"/>
        <v>1958.4</v>
      </c>
      <c r="O45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17-SC2Tur-Bar21/8</v>
      </c>
    </row>
    <row r="455" spans="1:15" x14ac:dyDescent="0.3">
      <c r="A455" t="s">
        <v>18</v>
      </c>
      <c r="B455" t="s">
        <v>51</v>
      </c>
      <c r="C455" s="1">
        <v>42968</v>
      </c>
      <c r="D455" t="s">
        <v>20</v>
      </c>
      <c r="E455">
        <v>193</v>
      </c>
      <c r="F455">
        <f>IFERROR(VLOOKUP(E455,Margins!$A:$B,2,TRUE),"")</f>
        <v>0.15</v>
      </c>
      <c r="G455">
        <f t="shared" si="21"/>
        <v>7237.5</v>
      </c>
      <c r="H455" t="s">
        <v>64</v>
      </c>
      <c r="I455">
        <v>250</v>
      </c>
      <c r="J455">
        <f>IF(Table1[[#This Row],[Tickets Sold]]&gt;500,8,5)</f>
        <v>5</v>
      </c>
      <c r="K455">
        <v>213</v>
      </c>
      <c r="L455" t="str">
        <f>VLOOKUP(H455,Descriptions!A:B, 2, FALSE)</f>
        <v>Seating Cat. 3</v>
      </c>
      <c r="M455">
        <f t="shared" ca="1" si="22"/>
        <v>-2247</v>
      </c>
      <c r="N455">
        <f t="shared" si="23"/>
        <v>6166.3499999999995</v>
      </c>
      <c r="O45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17-SC3Tur-Bar21/8</v>
      </c>
    </row>
    <row r="456" spans="1:15" x14ac:dyDescent="0.3">
      <c r="A456" t="s">
        <v>18</v>
      </c>
      <c r="B456" t="s">
        <v>51</v>
      </c>
      <c r="C456" s="1">
        <v>42968</v>
      </c>
      <c r="D456" t="s">
        <v>20</v>
      </c>
      <c r="E456">
        <v>269</v>
      </c>
      <c r="F456">
        <f>IFERROR(VLOOKUP(E456,Margins!$A:$B,2,TRUE),"")</f>
        <v>0.25</v>
      </c>
      <c r="G456">
        <f t="shared" si="21"/>
        <v>26900</v>
      </c>
      <c r="H456" t="s">
        <v>65</v>
      </c>
      <c r="I456">
        <v>400</v>
      </c>
      <c r="J456">
        <f>IF(Table1[[#This Row],[Tickets Sold]]&gt;500,8,5)</f>
        <v>5</v>
      </c>
      <c r="K456">
        <v>328</v>
      </c>
      <c r="L456" t="str">
        <f>VLOOKUP(H456,Descriptions!A:B, 2, FALSE)</f>
        <v>Ticket + Air travel Package</v>
      </c>
      <c r="M456">
        <f t="shared" ca="1" si="22"/>
        <v>-2247</v>
      </c>
      <c r="N456">
        <f t="shared" si="23"/>
        <v>22058</v>
      </c>
      <c r="O45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17-TA1Tur-Bar21/8</v>
      </c>
    </row>
    <row r="457" spans="1:15" x14ac:dyDescent="0.3">
      <c r="A457" t="s">
        <v>18</v>
      </c>
      <c r="B457" t="s">
        <v>51</v>
      </c>
      <c r="C457" s="1">
        <v>42968</v>
      </c>
      <c r="D457" t="s">
        <v>20</v>
      </c>
      <c r="E457">
        <v>32</v>
      </c>
      <c r="F457">
        <f>IFERROR(VLOOKUP(E457,Margins!$A:$B,2,TRUE),"")</f>
        <v>7.0000000000000007E-2</v>
      </c>
      <c r="G457">
        <f t="shared" si="21"/>
        <v>112.00000000000001</v>
      </c>
      <c r="H457" t="s">
        <v>11</v>
      </c>
      <c r="I457">
        <v>50</v>
      </c>
      <c r="J457">
        <f>IF(Table1[[#This Row],[Tickets Sold]]&gt;500,8,5)</f>
        <v>5</v>
      </c>
      <c r="K457">
        <v>32</v>
      </c>
      <c r="L457" t="str">
        <f>VLOOKUP(H457,Descriptions!A:B, 2, FALSE)</f>
        <v>Parking place</v>
      </c>
      <c r="M457">
        <f t="shared" ca="1" si="22"/>
        <v>-2247</v>
      </c>
      <c r="N457">
        <f t="shared" si="23"/>
        <v>71.680000000000007</v>
      </c>
      <c r="O45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17-POSTur-Bar21/8</v>
      </c>
    </row>
    <row r="458" spans="1:15" x14ac:dyDescent="0.3">
      <c r="A458" t="s">
        <v>18</v>
      </c>
      <c r="B458" t="s">
        <v>51</v>
      </c>
      <c r="C458" s="1">
        <v>42968</v>
      </c>
      <c r="D458" t="s">
        <v>20</v>
      </c>
      <c r="E458">
        <v>350</v>
      </c>
      <c r="F458">
        <f>IFERROR(VLOOKUP(E458,Margins!$A:$B,2,TRUE),"")</f>
        <v>0.25</v>
      </c>
      <c r="G458">
        <f t="shared" si="21"/>
        <v>17500</v>
      </c>
      <c r="H458" t="s">
        <v>66</v>
      </c>
      <c r="I458">
        <v>200</v>
      </c>
      <c r="J458">
        <f>IF(Table1[[#This Row],[Tickets Sold]]&gt;500,8,5)</f>
        <v>5</v>
      </c>
      <c r="K458">
        <v>182</v>
      </c>
      <c r="L458" t="str">
        <f>VLOOKUP(H458,Descriptions!A:B, 2, FALSE)</f>
        <v>Ticket + Air travel + Hotel Package</v>
      </c>
      <c r="M458">
        <f t="shared" ca="1" si="22"/>
        <v>-2247</v>
      </c>
      <c r="N458">
        <f t="shared" si="23"/>
        <v>15925</v>
      </c>
      <c r="O45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17-TA2Tur-Bar21/8</v>
      </c>
    </row>
    <row r="459" spans="1:15" x14ac:dyDescent="0.3">
      <c r="A459" t="s">
        <v>4</v>
      </c>
      <c r="B459" t="s">
        <v>5</v>
      </c>
      <c r="C459" s="1">
        <v>42890</v>
      </c>
      <c r="D459" t="s">
        <v>3</v>
      </c>
      <c r="E459">
        <v>76</v>
      </c>
      <c r="F459">
        <f>IFERROR(VLOOKUP(E459,Margins!$A:$B,2,TRUE),"")</f>
        <v>0.1</v>
      </c>
      <c r="G459">
        <f t="shared" si="21"/>
        <v>6004</v>
      </c>
      <c r="H459" t="s">
        <v>62</v>
      </c>
      <c r="I459">
        <v>790</v>
      </c>
      <c r="J459">
        <f>IF(Table1[[#This Row],[Tickets Sold]]&gt;500,8,5)</f>
        <v>5</v>
      </c>
      <c r="K459">
        <v>443</v>
      </c>
      <c r="L459" t="str">
        <f>VLOOKUP(H459,Descriptions!A:B, 2, FALSE)</f>
        <v>Seating Cat. 1</v>
      </c>
      <c r="M459">
        <f t="shared" ca="1" si="22"/>
        <v>-2302</v>
      </c>
      <c r="N459">
        <f t="shared" si="23"/>
        <v>3366.8</v>
      </c>
      <c r="O45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-Mad4/6</v>
      </c>
    </row>
    <row r="460" spans="1:15" x14ac:dyDescent="0.3">
      <c r="A460" t="s">
        <v>4</v>
      </c>
      <c r="B460" t="s">
        <v>5</v>
      </c>
      <c r="C460" s="1">
        <v>42890</v>
      </c>
      <c r="D460" t="s">
        <v>3</v>
      </c>
      <c r="E460">
        <v>74</v>
      </c>
      <c r="F460">
        <f>IFERROR(VLOOKUP(E460,Margins!$A:$B,2,TRUE),"")</f>
        <v>0.1</v>
      </c>
      <c r="G460">
        <f t="shared" si="21"/>
        <v>3330</v>
      </c>
      <c r="H460" t="s">
        <v>63</v>
      </c>
      <c r="I460">
        <v>450</v>
      </c>
      <c r="J460">
        <f>IF(Table1[[#This Row],[Tickets Sold]]&gt;500,8,5)</f>
        <v>5</v>
      </c>
      <c r="K460">
        <v>284</v>
      </c>
      <c r="L460" t="str">
        <f>VLOOKUP(H460,Descriptions!A:B, 2, FALSE)</f>
        <v>Seating Cat. 2</v>
      </c>
      <c r="M460">
        <f t="shared" ca="1" si="22"/>
        <v>-2302</v>
      </c>
      <c r="N460">
        <f t="shared" si="23"/>
        <v>2101.6</v>
      </c>
      <c r="O46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-Mad4/6</v>
      </c>
    </row>
    <row r="461" spans="1:15" x14ac:dyDescent="0.3">
      <c r="A461" t="s">
        <v>4</v>
      </c>
      <c r="B461" t="s">
        <v>5</v>
      </c>
      <c r="C461" s="1">
        <v>42890</v>
      </c>
      <c r="D461" t="s">
        <v>3</v>
      </c>
      <c r="E461">
        <v>118</v>
      </c>
      <c r="F461">
        <f>IFERROR(VLOOKUP(E461,Margins!$A:$B,2,TRUE),"")</f>
        <v>0.15</v>
      </c>
      <c r="G461">
        <f t="shared" si="21"/>
        <v>4956</v>
      </c>
      <c r="H461" t="s">
        <v>64</v>
      </c>
      <c r="I461">
        <v>280</v>
      </c>
      <c r="J461">
        <f>IF(Table1[[#This Row],[Tickets Sold]]&gt;500,8,5)</f>
        <v>5</v>
      </c>
      <c r="K461">
        <v>210</v>
      </c>
      <c r="L461" t="str">
        <f>VLOOKUP(H461,Descriptions!A:B, 2, FALSE)</f>
        <v>Seating Cat. 3</v>
      </c>
      <c r="M461">
        <f t="shared" ca="1" si="22"/>
        <v>-2302</v>
      </c>
      <c r="N461">
        <f t="shared" si="23"/>
        <v>3717</v>
      </c>
      <c r="O46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-Mad4/6</v>
      </c>
    </row>
    <row r="462" spans="1:15" x14ac:dyDescent="0.3">
      <c r="A462" t="s">
        <v>4</v>
      </c>
      <c r="B462" t="s">
        <v>5</v>
      </c>
      <c r="C462" s="1">
        <v>42890</v>
      </c>
      <c r="D462" t="s">
        <v>3</v>
      </c>
      <c r="E462">
        <v>277</v>
      </c>
      <c r="F462">
        <f>IFERROR(VLOOKUP(E462,Margins!$A:$B,2,TRUE),"")</f>
        <v>0.25</v>
      </c>
      <c r="G462">
        <f t="shared" si="21"/>
        <v>20775</v>
      </c>
      <c r="H462" t="s">
        <v>65</v>
      </c>
      <c r="I462">
        <v>300</v>
      </c>
      <c r="J462">
        <f>IF(Table1[[#This Row],[Tickets Sold]]&gt;500,8,5)</f>
        <v>5</v>
      </c>
      <c r="K462">
        <v>258</v>
      </c>
      <c r="L462" t="str">
        <f>VLOOKUP(H462,Descriptions!A:B, 2, FALSE)</f>
        <v>Ticket + Air travel Package</v>
      </c>
      <c r="M462">
        <f t="shared" ca="1" si="22"/>
        <v>-2302</v>
      </c>
      <c r="N462">
        <f t="shared" si="23"/>
        <v>17866.5</v>
      </c>
      <c r="O46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-Mad4/6</v>
      </c>
    </row>
    <row r="463" spans="1:15" x14ac:dyDescent="0.3">
      <c r="A463" t="s">
        <v>4</v>
      </c>
      <c r="B463" t="s">
        <v>5</v>
      </c>
      <c r="C463" s="1">
        <v>42890</v>
      </c>
      <c r="D463" t="s">
        <v>3</v>
      </c>
      <c r="E463">
        <v>331</v>
      </c>
      <c r="F463">
        <f>IFERROR(VLOOKUP(E463,Margins!$A:$B,2,TRUE),"")</f>
        <v>0.25</v>
      </c>
      <c r="G463">
        <f t="shared" si="21"/>
        <v>24825</v>
      </c>
      <c r="H463" t="s">
        <v>66</v>
      </c>
      <c r="I463">
        <v>300</v>
      </c>
      <c r="J463">
        <f>IF(Table1[[#This Row],[Tickets Sold]]&gt;500,8,5)</f>
        <v>5</v>
      </c>
      <c r="K463">
        <v>192</v>
      </c>
      <c r="L463" t="str">
        <f>VLOOKUP(H463,Descriptions!A:B, 2, FALSE)</f>
        <v>Ticket + Air travel + Hotel Package</v>
      </c>
      <c r="M463">
        <f t="shared" ca="1" si="22"/>
        <v>-2302</v>
      </c>
      <c r="N463">
        <f t="shared" si="23"/>
        <v>15888</v>
      </c>
      <c r="O46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-Mad4/6</v>
      </c>
    </row>
    <row r="464" spans="1:15" x14ac:dyDescent="0.3">
      <c r="A464" t="s">
        <v>4</v>
      </c>
      <c r="B464" t="s">
        <v>52</v>
      </c>
      <c r="C464" s="1">
        <v>42894</v>
      </c>
      <c r="D464" t="s">
        <v>3</v>
      </c>
      <c r="E464">
        <v>61</v>
      </c>
      <c r="F464">
        <f>IFERROR(VLOOKUP(E464,Margins!$A:$B,2,TRUE),"")</f>
        <v>0.1</v>
      </c>
      <c r="G464">
        <f t="shared" si="21"/>
        <v>4758</v>
      </c>
      <c r="H464" t="s">
        <v>62</v>
      </c>
      <c r="I464">
        <v>780</v>
      </c>
      <c r="J464">
        <f>IF(Table1[[#This Row],[Tickets Sold]]&gt;500,8,5)</f>
        <v>5</v>
      </c>
      <c r="K464">
        <v>484</v>
      </c>
      <c r="L464" t="str">
        <f>VLOOKUP(H464,Descriptions!A:B, 2, FALSE)</f>
        <v>Seating Cat. 1</v>
      </c>
      <c r="M464">
        <f t="shared" ca="1" si="22"/>
        <v>-2300</v>
      </c>
      <c r="N464">
        <f t="shared" si="23"/>
        <v>2952.4</v>
      </c>
      <c r="O46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-Lon8/6</v>
      </c>
    </row>
    <row r="465" spans="1:15" x14ac:dyDescent="0.3">
      <c r="A465" t="s">
        <v>4</v>
      </c>
      <c r="B465" t="s">
        <v>52</v>
      </c>
      <c r="C465" s="1">
        <v>42894</v>
      </c>
      <c r="D465" t="s">
        <v>3</v>
      </c>
      <c r="E465">
        <v>104</v>
      </c>
      <c r="F465">
        <f>IFERROR(VLOOKUP(E465,Margins!$A:$B,2,TRUE),"")</f>
        <v>0.15</v>
      </c>
      <c r="G465">
        <f t="shared" si="21"/>
        <v>10171.199999999999</v>
      </c>
      <c r="H465" t="s">
        <v>63</v>
      </c>
      <c r="I465">
        <v>652</v>
      </c>
      <c r="J465">
        <f>IF(Table1[[#This Row],[Tickets Sold]]&gt;500,8,5)</f>
        <v>8</v>
      </c>
      <c r="K465">
        <v>535</v>
      </c>
      <c r="L465" t="str">
        <f>VLOOKUP(H465,Descriptions!A:B, 2, FALSE)</f>
        <v>Seating Cat. 2</v>
      </c>
      <c r="M465">
        <f t="shared" ca="1" si="22"/>
        <v>-2300</v>
      </c>
      <c r="N465">
        <f t="shared" si="23"/>
        <v>8346</v>
      </c>
      <c r="O46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-Lon8/6</v>
      </c>
    </row>
    <row r="466" spans="1:15" x14ac:dyDescent="0.3">
      <c r="A466" t="s">
        <v>4</v>
      </c>
      <c r="B466" t="s">
        <v>52</v>
      </c>
      <c r="C466" s="1">
        <v>42894</v>
      </c>
      <c r="D466" t="s">
        <v>3</v>
      </c>
      <c r="E466">
        <v>185</v>
      </c>
      <c r="F466">
        <f>IFERROR(VLOOKUP(E466,Margins!$A:$B,2,TRUE),"")</f>
        <v>0.15</v>
      </c>
      <c r="G466">
        <f t="shared" si="21"/>
        <v>9573.75</v>
      </c>
      <c r="H466" t="s">
        <v>64</v>
      </c>
      <c r="I466">
        <v>345</v>
      </c>
      <c r="J466">
        <f>IF(Table1[[#This Row],[Tickets Sold]]&gt;500,8,5)</f>
        <v>5</v>
      </c>
      <c r="K466">
        <v>287</v>
      </c>
      <c r="L466" t="str">
        <f>VLOOKUP(H466,Descriptions!A:B, 2, FALSE)</f>
        <v>Seating Cat. 3</v>
      </c>
      <c r="M466">
        <f t="shared" ca="1" si="22"/>
        <v>-2300</v>
      </c>
      <c r="N466">
        <f t="shared" si="23"/>
        <v>7964.25</v>
      </c>
      <c r="O46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-Lon8/6</v>
      </c>
    </row>
    <row r="467" spans="1:15" x14ac:dyDescent="0.3">
      <c r="A467" t="s">
        <v>4</v>
      </c>
      <c r="B467" t="s">
        <v>52</v>
      </c>
      <c r="C467" s="1">
        <v>42894</v>
      </c>
      <c r="D467" t="s">
        <v>3</v>
      </c>
      <c r="E467">
        <v>231</v>
      </c>
      <c r="F467">
        <f>IFERROR(VLOOKUP(E467,Margins!$A:$B,2,TRUE),"")</f>
        <v>0.25</v>
      </c>
      <c r="G467">
        <f t="shared" si="21"/>
        <v>23100</v>
      </c>
      <c r="H467" t="s">
        <v>65</v>
      </c>
      <c r="I467">
        <v>400</v>
      </c>
      <c r="J467">
        <f>IF(Table1[[#This Row],[Tickets Sold]]&gt;500,8,5)</f>
        <v>5</v>
      </c>
      <c r="K467">
        <v>236</v>
      </c>
      <c r="L467" t="str">
        <f>VLOOKUP(H467,Descriptions!A:B, 2, FALSE)</f>
        <v>Ticket + Air travel Package</v>
      </c>
      <c r="M467">
        <f t="shared" ca="1" si="22"/>
        <v>-2300</v>
      </c>
      <c r="N467">
        <f t="shared" si="23"/>
        <v>13629</v>
      </c>
      <c r="O46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-Lon8/6</v>
      </c>
    </row>
    <row r="468" spans="1:15" x14ac:dyDescent="0.3">
      <c r="A468" t="s">
        <v>4</v>
      </c>
      <c r="B468" t="s">
        <v>52</v>
      </c>
      <c r="C468" s="1">
        <v>42894</v>
      </c>
      <c r="D468" t="s">
        <v>3</v>
      </c>
      <c r="E468">
        <v>353</v>
      </c>
      <c r="F468">
        <f>IFERROR(VLOOKUP(E468,Margins!$A:$B,2,TRUE),"")</f>
        <v>0.25</v>
      </c>
      <c r="G468">
        <f t="shared" si="21"/>
        <v>26475</v>
      </c>
      <c r="H468" t="s">
        <v>66</v>
      </c>
      <c r="I468">
        <v>300</v>
      </c>
      <c r="J468">
        <f>IF(Table1[[#This Row],[Tickets Sold]]&gt;500,8,5)</f>
        <v>5</v>
      </c>
      <c r="K468">
        <v>249</v>
      </c>
      <c r="L468" t="str">
        <f>VLOOKUP(H468,Descriptions!A:B, 2, FALSE)</f>
        <v>Ticket + Air travel + Hotel Package</v>
      </c>
      <c r="M468">
        <f t="shared" ca="1" si="22"/>
        <v>-2300</v>
      </c>
      <c r="N468">
        <f t="shared" si="23"/>
        <v>21974.25</v>
      </c>
      <c r="O46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-Lon8/6</v>
      </c>
    </row>
    <row r="469" spans="1:15" x14ac:dyDescent="0.3">
      <c r="A469" t="s">
        <v>4</v>
      </c>
      <c r="B469" t="s">
        <v>5</v>
      </c>
      <c r="C469" s="1">
        <v>42908</v>
      </c>
      <c r="D469" t="s">
        <v>3</v>
      </c>
      <c r="E469">
        <v>37</v>
      </c>
      <c r="F469">
        <f>IFERROR(VLOOKUP(E469,Margins!$A:$B,2,TRUE),"")</f>
        <v>7.0000000000000007E-2</v>
      </c>
      <c r="G469">
        <f t="shared" si="21"/>
        <v>2564.1000000000004</v>
      </c>
      <c r="H469" t="s">
        <v>62</v>
      </c>
      <c r="I469">
        <v>990</v>
      </c>
      <c r="J469">
        <f>IF(Table1[[#This Row],[Tickets Sold]]&gt;500,8,5)</f>
        <v>8</v>
      </c>
      <c r="K469">
        <v>565</v>
      </c>
      <c r="L469" t="str">
        <f>VLOOKUP(H469,Descriptions!A:B, 2, FALSE)</f>
        <v>Seating Cat. 1</v>
      </c>
      <c r="M469">
        <f t="shared" ca="1" si="22"/>
        <v>-2290</v>
      </c>
      <c r="N469">
        <f t="shared" si="23"/>
        <v>1463.3500000000001</v>
      </c>
      <c r="O46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-Mad22/6</v>
      </c>
    </row>
    <row r="470" spans="1:15" x14ac:dyDescent="0.3">
      <c r="A470" t="s">
        <v>4</v>
      </c>
      <c r="B470" t="s">
        <v>5</v>
      </c>
      <c r="C470" s="1">
        <v>42908</v>
      </c>
      <c r="D470" t="s">
        <v>3</v>
      </c>
      <c r="E470">
        <v>90</v>
      </c>
      <c r="F470">
        <f>IFERROR(VLOOKUP(E470,Margins!$A:$B,2,TRUE),"")</f>
        <v>0.1</v>
      </c>
      <c r="G470">
        <f t="shared" si="21"/>
        <v>4500</v>
      </c>
      <c r="H470" t="s">
        <v>63</v>
      </c>
      <c r="I470">
        <v>500</v>
      </c>
      <c r="J470">
        <f>IF(Table1[[#This Row],[Tickets Sold]]&gt;500,8,5)</f>
        <v>5</v>
      </c>
      <c r="K470">
        <v>280</v>
      </c>
      <c r="L470" t="str">
        <f>VLOOKUP(H470,Descriptions!A:B, 2, FALSE)</f>
        <v>Seating Cat. 2</v>
      </c>
      <c r="M470">
        <f t="shared" ca="1" si="22"/>
        <v>-2290</v>
      </c>
      <c r="N470">
        <f t="shared" si="23"/>
        <v>2520</v>
      </c>
      <c r="O47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-Mad22/6</v>
      </c>
    </row>
    <row r="471" spans="1:15" x14ac:dyDescent="0.3">
      <c r="A471" t="s">
        <v>4</v>
      </c>
      <c r="B471" t="s">
        <v>5</v>
      </c>
      <c r="C471" s="1">
        <v>42908</v>
      </c>
      <c r="D471" t="s">
        <v>3</v>
      </c>
      <c r="E471">
        <v>184</v>
      </c>
      <c r="F471">
        <f>IFERROR(VLOOKUP(E471,Margins!$A:$B,2,TRUE),"")</f>
        <v>0.15</v>
      </c>
      <c r="G471">
        <f t="shared" si="21"/>
        <v>5520</v>
      </c>
      <c r="H471" t="s">
        <v>64</v>
      </c>
      <c r="I471">
        <v>200</v>
      </c>
      <c r="J471">
        <f>IF(Table1[[#This Row],[Tickets Sold]]&gt;500,8,5)</f>
        <v>5</v>
      </c>
      <c r="K471">
        <v>102</v>
      </c>
      <c r="L471" t="str">
        <f>VLOOKUP(H471,Descriptions!A:B, 2, FALSE)</f>
        <v>Seating Cat. 3</v>
      </c>
      <c r="M471">
        <f t="shared" ca="1" si="22"/>
        <v>-2290</v>
      </c>
      <c r="N471">
        <f t="shared" si="23"/>
        <v>2815.2</v>
      </c>
      <c r="O47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-Mad22/6</v>
      </c>
    </row>
    <row r="472" spans="1:15" x14ac:dyDescent="0.3">
      <c r="A472" t="s">
        <v>4</v>
      </c>
      <c r="B472" t="s">
        <v>5</v>
      </c>
      <c r="C472" s="1">
        <v>42908</v>
      </c>
      <c r="D472" t="s">
        <v>3</v>
      </c>
      <c r="E472">
        <v>283</v>
      </c>
      <c r="F472">
        <f>IFERROR(VLOOKUP(E472,Margins!$A:$B,2,TRUE),"")</f>
        <v>0.25</v>
      </c>
      <c r="G472">
        <f t="shared" si="21"/>
        <v>14150</v>
      </c>
      <c r="H472" t="s">
        <v>65</v>
      </c>
      <c r="I472">
        <v>200</v>
      </c>
      <c r="J472">
        <f>IF(Table1[[#This Row],[Tickets Sold]]&gt;500,8,5)</f>
        <v>5</v>
      </c>
      <c r="K472">
        <v>180</v>
      </c>
      <c r="L472" t="str">
        <f>VLOOKUP(H472,Descriptions!A:B, 2, FALSE)</f>
        <v>Ticket + Air travel Package</v>
      </c>
      <c r="M472">
        <f t="shared" ca="1" si="22"/>
        <v>-2290</v>
      </c>
      <c r="N472">
        <f t="shared" si="23"/>
        <v>12735</v>
      </c>
      <c r="O47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-Mad22/6</v>
      </c>
    </row>
    <row r="473" spans="1:15" x14ac:dyDescent="0.3">
      <c r="A473" t="s">
        <v>4</v>
      </c>
      <c r="B473" t="s">
        <v>5</v>
      </c>
      <c r="C473" s="1">
        <v>42908</v>
      </c>
      <c r="D473" t="s">
        <v>3</v>
      </c>
      <c r="E473">
        <v>386</v>
      </c>
      <c r="F473">
        <f>IFERROR(VLOOKUP(E473,Margins!$A:$B,2,TRUE),"")</f>
        <v>0.25</v>
      </c>
      <c r="G473">
        <f t="shared" si="21"/>
        <v>38600</v>
      </c>
      <c r="H473" t="s">
        <v>66</v>
      </c>
      <c r="I473">
        <v>400</v>
      </c>
      <c r="J473">
        <f>IF(Table1[[#This Row],[Tickets Sold]]&gt;500,8,5)</f>
        <v>5</v>
      </c>
      <c r="K473">
        <v>288</v>
      </c>
      <c r="L473" t="str">
        <f>VLOOKUP(H473,Descriptions!A:B, 2, FALSE)</f>
        <v>Ticket + Air travel + Hotel Package</v>
      </c>
      <c r="M473">
        <f t="shared" ca="1" si="22"/>
        <v>-2290</v>
      </c>
      <c r="N473">
        <f t="shared" si="23"/>
        <v>27792</v>
      </c>
      <c r="O47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-Mad22/6</v>
      </c>
    </row>
    <row r="474" spans="1:15" x14ac:dyDescent="0.3">
      <c r="A474" t="s">
        <v>4</v>
      </c>
      <c r="B474" t="s">
        <v>52</v>
      </c>
      <c r="C474" s="1">
        <v>42912</v>
      </c>
      <c r="D474" t="s">
        <v>3</v>
      </c>
      <c r="E474">
        <v>51</v>
      </c>
      <c r="F474">
        <f>IFERROR(VLOOKUP(E474,Margins!$A:$B,2,TRUE),"")</f>
        <v>0.1</v>
      </c>
      <c r="G474">
        <f t="shared" si="21"/>
        <v>3978.0000000000005</v>
      </c>
      <c r="H474" t="s">
        <v>62</v>
      </c>
      <c r="I474">
        <v>780</v>
      </c>
      <c r="J474">
        <f>IF(Table1[[#This Row],[Tickets Sold]]&gt;500,8,5)</f>
        <v>8</v>
      </c>
      <c r="K474">
        <v>531</v>
      </c>
      <c r="L474" t="str">
        <f>VLOOKUP(H474,Descriptions!A:B, 2, FALSE)</f>
        <v>Seating Cat. 1</v>
      </c>
      <c r="M474">
        <f t="shared" ca="1" si="22"/>
        <v>-2287</v>
      </c>
      <c r="N474">
        <f t="shared" si="23"/>
        <v>2708.1000000000004</v>
      </c>
      <c r="O47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-Lon26/6</v>
      </c>
    </row>
    <row r="475" spans="1:15" x14ac:dyDescent="0.3">
      <c r="A475" t="s">
        <v>4</v>
      </c>
      <c r="B475" t="s">
        <v>52</v>
      </c>
      <c r="C475" s="1">
        <v>42912</v>
      </c>
      <c r="D475" t="s">
        <v>3</v>
      </c>
      <c r="E475">
        <v>72</v>
      </c>
      <c r="F475">
        <f>IFERROR(VLOOKUP(E475,Margins!$A:$B,2,TRUE),"")</f>
        <v>0.1</v>
      </c>
      <c r="G475">
        <f t="shared" si="21"/>
        <v>4694.4000000000005</v>
      </c>
      <c r="H475" t="s">
        <v>63</v>
      </c>
      <c r="I475">
        <v>652</v>
      </c>
      <c r="J475">
        <f>IF(Table1[[#This Row],[Tickets Sold]]&gt;500,8,5)</f>
        <v>8</v>
      </c>
      <c r="K475">
        <v>503</v>
      </c>
      <c r="L475" t="str">
        <f>VLOOKUP(H475,Descriptions!A:B, 2, FALSE)</f>
        <v>Seating Cat. 2</v>
      </c>
      <c r="M475">
        <f t="shared" ca="1" si="22"/>
        <v>-2287</v>
      </c>
      <c r="N475">
        <f t="shared" si="23"/>
        <v>3621.6</v>
      </c>
      <c r="O47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-Lon26/6</v>
      </c>
    </row>
    <row r="476" spans="1:15" x14ac:dyDescent="0.3">
      <c r="A476" t="s">
        <v>4</v>
      </c>
      <c r="B476" t="s">
        <v>52</v>
      </c>
      <c r="C476" s="1">
        <v>42912</v>
      </c>
      <c r="D476" t="s">
        <v>3</v>
      </c>
      <c r="E476">
        <v>139</v>
      </c>
      <c r="F476">
        <f>IFERROR(VLOOKUP(E476,Margins!$A:$B,2,TRUE),"")</f>
        <v>0.15</v>
      </c>
      <c r="G476">
        <f t="shared" si="21"/>
        <v>7193.2499999999991</v>
      </c>
      <c r="H476" t="s">
        <v>64</v>
      </c>
      <c r="I476">
        <v>345</v>
      </c>
      <c r="J476">
        <f>IF(Table1[[#This Row],[Tickets Sold]]&gt;500,8,5)</f>
        <v>5</v>
      </c>
      <c r="K476">
        <v>252</v>
      </c>
      <c r="L476" t="str">
        <f>VLOOKUP(H476,Descriptions!A:B, 2, FALSE)</f>
        <v>Seating Cat. 3</v>
      </c>
      <c r="M476">
        <f t="shared" ca="1" si="22"/>
        <v>-2287</v>
      </c>
      <c r="N476">
        <f t="shared" si="23"/>
        <v>5254.2</v>
      </c>
      <c r="O47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-Lon26/6</v>
      </c>
    </row>
    <row r="477" spans="1:15" x14ac:dyDescent="0.3">
      <c r="A477" t="s">
        <v>4</v>
      </c>
      <c r="B477" t="s">
        <v>52</v>
      </c>
      <c r="C477" s="1">
        <v>42912</v>
      </c>
      <c r="D477" t="s">
        <v>3</v>
      </c>
      <c r="E477">
        <v>252</v>
      </c>
      <c r="F477">
        <f>IFERROR(VLOOKUP(E477,Margins!$A:$B,2,TRUE),"")</f>
        <v>0.25</v>
      </c>
      <c r="G477">
        <f t="shared" si="21"/>
        <v>18900</v>
      </c>
      <c r="H477" t="s">
        <v>65</v>
      </c>
      <c r="I477">
        <v>300</v>
      </c>
      <c r="J477">
        <f>IF(Table1[[#This Row],[Tickets Sold]]&gt;500,8,5)</f>
        <v>5</v>
      </c>
      <c r="K477">
        <v>216</v>
      </c>
      <c r="L477" t="str">
        <f>VLOOKUP(H477,Descriptions!A:B, 2, FALSE)</f>
        <v>Ticket + Air travel Package</v>
      </c>
      <c r="M477">
        <f t="shared" ca="1" si="22"/>
        <v>-2287</v>
      </c>
      <c r="N477">
        <f t="shared" si="23"/>
        <v>13608</v>
      </c>
      <c r="O47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-Lon26/6</v>
      </c>
    </row>
    <row r="478" spans="1:15" x14ac:dyDescent="0.3">
      <c r="A478" t="s">
        <v>4</v>
      </c>
      <c r="B478" t="s">
        <v>52</v>
      </c>
      <c r="C478" s="1">
        <v>42912</v>
      </c>
      <c r="D478" t="s">
        <v>3</v>
      </c>
      <c r="E478">
        <v>332</v>
      </c>
      <c r="F478">
        <f>IFERROR(VLOOKUP(E478,Margins!$A:$B,2,TRUE),"")</f>
        <v>0.25</v>
      </c>
      <c r="G478">
        <f t="shared" si="21"/>
        <v>24900</v>
      </c>
      <c r="H478" t="s">
        <v>66</v>
      </c>
      <c r="I478">
        <v>300</v>
      </c>
      <c r="J478">
        <f>IF(Table1[[#This Row],[Tickets Sold]]&gt;500,8,5)</f>
        <v>5</v>
      </c>
      <c r="K478">
        <v>273</v>
      </c>
      <c r="L478" t="str">
        <f>VLOOKUP(H478,Descriptions!A:B, 2, FALSE)</f>
        <v>Ticket + Air travel + Hotel Package</v>
      </c>
      <c r="M478">
        <f t="shared" ca="1" si="22"/>
        <v>-2287</v>
      </c>
      <c r="N478">
        <f t="shared" si="23"/>
        <v>22659</v>
      </c>
      <c r="O47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-Lon26/6</v>
      </c>
    </row>
    <row r="479" spans="1:15" x14ac:dyDescent="0.3">
      <c r="A479" t="s">
        <v>4</v>
      </c>
      <c r="B479" t="s">
        <v>52</v>
      </c>
      <c r="C479" s="1">
        <v>42914</v>
      </c>
      <c r="D479" t="s">
        <v>3</v>
      </c>
      <c r="E479">
        <v>79</v>
      </c>
      <c r="F479">
        <f>IFERROR(VLOOKUP(E479,Margins!$A:$B,2,TRUE),"")</f>
        <v>0.1</v>
      </c>
      <c r="G479">
        <f t="shared" si="21"/>
        <v>6162</v>
      </c>
      <c r="H479" t="s">
        <v>62</v>
      </c>
      <c r="I479">
        <v>780</v>
      </c>
      <c r="J479">
        <f>IF(Table1[[#This Row],[Tickets Sold]]&gt;500,8,5)</f>
        <v>8</v>
      </c>
      <c r="K479">
        <v>609</v>
      </c>
      <c r="L479" t="str">
        <f>VLOOKUP(H479,Descriptions!A:B, 2, FALSE)</f>
        <v>Seating Cat. 1</v>
      </c>
      <c r="M479">
        <f t="shared" ca="1" si="22"/>
        <v>-2286</v>
      </c>
      <c r="N479">
        <f t="shared" si="23"/>
        <v>4811.1000000000004</v>
      </c>
      <c r="O47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-Lon28/6</v>
      </c>
    </row>
    <row r="480" spans="1:15" x14ac:dyDescent="0.3">
      <c r="A480" t="s">
        <v>4</v>
      </c>
      <c r="B480" t="s">
        <v>52</v>
      </c>
      <c r="C480" s="1">
        <v>42914</v>
      </c>
      <c r="D480" t="s">
        <v>3</v>
      </c>
      <c r="E480">
        <v>96</v>
      </c>
      <c r="F480">
        <f>IFERROR(VLOOKUP(E480,Margins!$A:$B,2,TRUE),"")</f>
        <v>0.1</v>
      </c>
      <c r="G480">
        <f t="shared" si="21"/>
        <v>6259.2000000000007</v>
      </c>
      <c r="H480" t="s">
        <v>63</v>
      </c>
      <c r="I480">
        <v>652</v>
      </c>
      <c r="J480">
        <f>IF(Table1[[#This Row],[Tickets Sold]]&gt;500,8,5)</f>
        <v>5</v>
      </c>
      <c r="K480">
        <v>326</v>
      </c>
      <c r="L480" t="str">
        <f>VLOOKUP(H480,Descriptions!A:B, 2, FALSE)</f>
        <v>Seating Cat. 2</v>
      </c>
      <c r="M480">
        <f t="shared" ca="1" si="22"/>
        <v>-2286</v>
      </c>
      <c r="N480">
        <f t="shared" si="23"/>
        <v>3129.6000000000004</v>
      </c>
      <c r="O48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-Lon28/6</v>
      </c>
    </row>
    <row r="481" spans="1:15" x14ac:dyDescent="0.3">
      <c r="A481" t="s">
        <v>4</v>
      </c>
      <c r="B481" t="s">
        <v>52</v>
      </c>
      <c r="C481" s="1">
        <v>42914</v>
      </c>
      <c r="D481" t="s">
        <v>3</v>
      </c>
      <c r="E481">
        <v>173</v>
      </c>
      <c r="F481">
        <f>IFERROR(VLOOKUP(E481,Margins!$A:$B,2,TRUE),"")</f>
        <v>0.15</v>
      </c>
      <c r="G481">
        <f t="shared" si="21"/>
        <v>8952.75</v>
      </c>
      <c r="H481" t="s">
        <v>64</v>
      </c>
      <c r="I481">
        <v>345</v>
      </c>
      <c r="J481">
        <f>IF(Table1[[#This Row],[Tickets Sold]]&gt;500,8,5)</f>
        <v>5</v>
      </c>
      <c r="K481">
        <v>263</v>
      </c>
      <c r="L481" t="str">
        <f>VLOOKUP(H481,Descriptions!A:B, 2, FALSE)</f>
        <v>Seating Cat. 3</v>
      </c>
      <c r="M481">
        <f t="shared" ca="1" si="22"/>
        <v>-2286</v>
      </c>
      <c r="N481">
        <f t="shared" si="23"/>
        <v>6824.8499999999995</v>
      </c>
      <c r="O48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-Lon28/6</v>
      </c>
    </row>
    <row r="482" spans="1:15" x14ac:dyDescent="0.3">
      <c r="A482" t="s">
        <v>4</v>
      </c>
      <c r="B482" t="s">
        <v>52</v>
      </c>
      <c r="C482" s="1">
        <v>42914</v>
      </c>
      <c r="D482" t="s">
        <v>3</v>
      </c>
      <c r="E482">
        <v>206</v>
      </c>
      <c r="F482">
        <f>IFERROR(VLOOKUP(E482,Margins!$A:$B,2,TRUE),"")</f>
        <v>0.25</v>
      </c>
      <c r="G482">
        <f t="shared" si="21"/>
        <v>15450</v>
      </c>
      <c r="H482" t="s">
        <v>65</v>
      </c>
      <c r="I482">
        <v>300</v>
      </c>
      <c r="J482">
        <f>IF(Table1[[#This Row],[Tickets Sold]]&gt;500,8,5)</f>
        <v>5</v>
      </c>
      <c r="K482">
        <v>210</v>
      </c>
      <c r="L482" t="str">
        <f>VLOOKUP(H482,Descriptions!A:B, 2, FALSE)</f>
        <v>Ticket + Air travel Package</v>
      </c>
      <c r="M482">
        <f t="shared" ca="1" si="22"/>
        <v>-2286</v>
      </c>
      <c r="N482">
        <f t="shared" si="23"/>
        <v>10815</v>
      </c>
      <c r="O48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-Lon28/6</v>
      </c>
    </row>
    <row r="483" spans="1:15" x14ac:dyDescent="0.3">
      <c r="A483" t="s">
        <v>4</v>
      </c>
      <c r="B483" t="s">
        <v>52</v>
      </c>
      <c r="C483" s="1">
        <v>42914</v>
      </c>
      <c r="D483" t="s">
        <v>3</v>
      </c>
      <c r="E483">
        <v>372</v>
      </c>
      <c r="F483">
        <f>IFERROR(VLOOKUP(E483,Margins!$A:$B,2,TRUE),"")</f>
        <v>0.25</v>
      </c>
      <c r="G483">
        <f t="shared" si="21"/>
        <v>18600</v>
      </c>
      <c r="H483" t="s">
        <v>66</v>
      </c>
      <c r="I483">
        <v>200</v>
      </c>
      <c r="J483">
        <f>IF(Table1[[#This Row],[Tickets Sold]]&gt;500,8,5)</f>
        <v>5</v>
      </c>
      <c r="K483">
        <v>176</v>
      </c>
      <c r="L483" t="str">
        <f>VLOOKUP(H483,Descriptions!A:B, 2, FALSE)</f>
        <v>Ticket + Air travel + Hotel Package</v>
      </c>
      <c r="M483">
        <f t="shared" ca="1" si="22"/>
        <v>-2286</v>
      </c>
      <c r="N483">
        <f t="shared" si="23"/>
        <v>16368</v>
      </c>
      <c r="O48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-Lon28/6</v>
      </c>
    </row>
    <row r="484" spans="1:15" x14ac:dyDescent="0.3">
      <c r="A484" t="s">
        <v>4</v>
      </c>
      <c r="B484" t="s">
        <v>48</v>
      </c>
      <c r="C484" s="1">
        <v>42918</v>
      </c>
      <c r="D484" t="s">
        <v>3</v>
      </c>
      <c r="E484">
        <v>54</v>
      </c>
      <c r="F484">
        <f>IFERROR(VLOOKUP(E484,Margins!$A:$B,2,TRUE),"")</f>
        <v>0.1</v>
      </c>
      <c r="G484">
        <f t="shared" si="21"/>
        <v>4536</v>
      </c>
      <c r="H484" t="s">
        <v>62</v>
      </c>
      <c r="I484">
        <v>840</v>
      </c>
      <c r="J484">
        <f>IF(Table1[[#This Row],[Tickets Sold]]&gt;500,8,5)</f>
        <v>8</v>
      </c>
      <c r="K484">
        <v>731</v>
      </c>
      <c r="L484" t="str">
        <f>VLOOKUP(H484,Descriptions!A:B, 2, FALSE)</f>
        <v>Seating Cat. 1</v>
      </c>
      <c r="M484">
        <f t="shared" ca="1" si="22"/>
        <v>-2282</v>
      </c>
      <c r="N484">
        <f t="shared" si="23"/>
        <v>3947.4</v>
      </c>
      <c r="O484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-Par2/7</v>
      </c>
    </row>
    <row r="485" spans="1:15" x14ac:dyDescent="0.3">
      <c r="A485" t="s">
        <v>4</v>
      </c>
      <c r="B485" t="s">
        <v>48</v>
      </c>
      <c r="C485" s="1">
        <v>42918</v>
      </c>
      <c r="D485" t="s">
        <v>3</v>
      </c>
      <c r="E485">
        <v>114</v>
      </c>
      <c r="F485">
        <f>IFERROR(VLOOKUP(E485,Margins!$A:$B,2,TRUE),"")</f>
        <v>0.15</v>
      </c>
      <c r="G485">
        <f t="shared" si="21"/>
        <v>8378.9999999999982</v>
      </c>
      <c r="H485" t="s">
        <v>63</v>
      </c>
      <c r="I485">
        <v>490</v>
      </c>
      <c r="J485">
        <f>IF(Table1[[#This Row],[Tickets Sold]]&gt;500,8,5)</f>
        <v>5</v>
      </c>
      <c r="K485">
        <v>437</v>
      </c>
      <c r="L485" t="str">
        <f>VLOOKUP(H485,Descriptions!A:B, 2, FALSE)</f>
        <v>Seating Cat. 2</v>
      </c>
      <c r="M485">
        <f t="shared" ca="1" si="22"/>
        <v>-2282</v>
      </c>
      <c r="N485">
        <f t="shared" si="23"/>
        <v>7472.6999999999989</v>
      </c>
      <c r="O485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-Par2/7</v>
      </c>
    </row>
    <row r="486" spans="1:15" x14ac:dyDescent="0.3">
      <c r="A486" t="s">
        <v>4</v>
      </c>
      <c r="B486" t="s">
        <v>48</v>
      </c>
      <c r="C486" s="1">
        <v>42918</v>
      </c>
      <c r="D486" t="s">
        <v>3</v>
      </c>
      <c r="E486">
        <v>175</v>
      </c>
      <c r="F486">
        <f>IFERROR(VLOOKUP(E486,Margins!$A:$B,2,TRUE),"")</f>
        <v>0.15</v>
      </c>
      <c r="G486">
        <f t="shared" si="21"/>
        <v>10237.5</v>
      </c>
      <c r="H486" t="s">
        <v>64</v>
      </c>
      <c r="I486">
        <v>390</v>
      </c>
      <c r="J486">
        <f>IF(Table1[[#This Row],[Tickets Sold]]&gt;500,8,5)</f>
        <v>5</v>
      </c>
      <c r="K486">
        <v>195</v>
      </c>
      <c r="L486" t="str">
        <f>VLOOKUP(H486,Descriptions!A:B, 2, FALSE)</f>
        <v>Seating Cat. 3</v>
      </c>
      <c r="M486">
        <f t="shared" ca="1" si="22"/>
        <v>-2282</v>
      </c>
      <c r="N486">
        <f t="shared" si="23"/>
        <v>5118.75</v>
      </c>
      <c r="O486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-Par2/7</v>
      </c>
    </row>
    <row r="487" spans="1:15" x14ac:dyDescent="0.3">
      <c r="A487" t="s">
        <v>4</v>
      </c>
      <c r="B487" t="s">
        <v>48</v>
      </c>
      <c r="C487" s="1">
        <v>42918</v>
      </c>
      <c r="D487" t="s">
        <v>3</v>
      </c>
      <c r="E487">
        <v>259</v>
      </c>
      <c r="F487">
        <f>IFERROR(VLOOKUP(E487,Margins!$A:$B,2,TRUE),"")</f>
        <v>0.25</v>
      </c>
      <c r="G487">
        <f t="shared" si="21"/>
        <v>19425</v>
      </c>
      <c r="H487" t="s">
        <v>65</v>
      </c>
      <c r="I487">
        <v>300</v>
      </c>
      <c r="J487">
        <f>IF(Table1[[#This Row],[Tickets Sold]]&gt;500,8,5)</f>
        <v>5</v>
      </c>
      <c r="K487">
        <v>162</v>
      </c>
      <c r="L487" t="str">
        <f>VLOOKUP(H487,Descriptions!A:B, 2, FALSE)</f>
        <v>Ticket + Air travel Package</v>
      </c>
      <c r="M487">
        <f t="shared" ca="1" si="22"/>
        <v>-2282</v>
      </c>
      <c r="N487">
        <f t="shared" si="23"/>
        <v>10489.5</v>
      </c>
      <c r="O487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-Par2/7</v>
      </c>
    </row>
    <row r="488" spans="1:15" x14ac:dyDescent="0.3">
      <c r="A488" t="s">
        <v>4</v>
      </c>
      <c r="B488" t="s">
        <v>48</v>
      </c>
      <c r="C488" s="1">
        <v>42918</v>
      </c>
      <c r="D488" t="s">
        <v>3</v>
      </c>
      <c r="E488">
        <v>351</v>
      </c>
      <c r="F488">
        <f>IFERROR(VLOOKUP(E488,Margins!$A:$B,2,TRUE),"")</f>
        <v>0.25</v>
      </c>
      <c r="G488">
        <f t="shared" si="21"/>
        <v>26325</v>
      </c>
      <c r="H488" t="s">
        <v>66</v>
      </c>
      <c r="I488">
        <v>300</v>
      </c>
      <c r="J488">
        <f>IF(Table1[[#This Row],[Tickets Sold]]&gt;500,8,5)</f>
        <v>5</v>
      </c>
      <c r="K488">
        <v>192</v>
      </c>
      <c r="L488" t="str">
        <f>VLOOKUP(H488,Descriptions!A:B, 2, FALSE)</f>
        <v>Ticket + Air travel + Hotel Package</v>
      </c>
      <c r="M488">
        <f t="shared" ca="1" si="22"/>
        <v>-2282</v>
      </c>
      <c r="N488">
        <f t="shared" si="23"/>
        <v>16848</v>
      </c>
      <c r="O488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-Par2/7</v>
      </c>
    </row>
    <row r="489" spans="1:15" x14ac:dyDescent="0.3">
      <c r="A489" t="s">
        <v>4</v>
      </c>
      <c r="B489" t="s">
        <v>48</v>
      </c>
      <c r="C489" s="1">
        <v>42924</v>
      </c>
      <c r="D489" t="s">
        <v>3</v>
      </c>
      <c r="E489">
        <v>68</v>
      </c>
      <c r="F489">
        <f>IFERROR(VLOOKUP(E489,Margins!$A:$B,2,TRUE),"")</f>
        <v>0.1</v>
      </c>
      <c r="G489">
        <f t="shared" si="21"/>
        <v>5712.0000000000009</v>
      </c>
      <c r="H489" t="s">
        <v>62</v>
      </c>
      <c r="I489">
        <v>840</v>
      </c>
      <c r="J489">
        <f>IF(Table1[[#This Row],[Tickets Sold]]&gt;500,8,5)</f>
        <v>8</v>
      </c>
      <c r="K489">
        <v>672</v>
      </c>
      <c r="L489" t="str">
        <f>VLOOKUP(H489,Descriptions!A:B, 2, FALSE)</f>
        <v>Seating Cat. 1</v>
      </c>
      <c r="M489">
        <f t="shared" ca="1" si="22"/>
        <v>-2278</v>
      </c>
      <c r="N489">
        <f t="shared" si="23"/>
        <v>4569.6000000000004</v>
      </c>
      <c r="O489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17-SC1We -Par8/7</v>
      </c>
    </row>
    <row r="490" spans="1:15" x14ac:dyDescent="0.3">
      <c r="A490" t="s">
        <v>4</v>
      </c>
      <c r="B490" t="s">
        <v>48</v>
      </c>
      <c r="C490" s="1">
        <v>42924</v>
      </c>
      <c r="D490" t="s">
        <v>3</v>
      </c>
      <c r="E490">
        <v>88</v>
      </c>
      <c r="F490">
        <f>IFERROR(VLOOKUP(E490,Margins!$A:$B,2,TRUE),"")</f>
        <v>0.1</v>
      </c>
      <c r="G490">
        <f t="shared" si="21"/>
        <v>4312</v>
      </c>
      <c r="H490" t="s">
        <v>63</v>
      </c>
      <c r="I490">
        <v>490</v>
      </c>
      <c r="J490">
        <f>IF(Table1[[#This Row],[Tickets Sold]]&gt;500,8,5)</f>
        <v>5</v>
      </c>
      <c r="K490">
        <v>407</v>
      </c>
      <c r="L490" t="str">
        <f>VLOOKUP(H490,Descriptions!A:B, 2, FALSE)</f>
        <v>Seating Cat. 2</v>
      </c>
      <c r="M490">
        <f t="shared" ca="1" si="22"/>
        <v>-2278</v>
      </c>
      <c r="N490">
        <f t="shared" si="23"/>
        <v>3581.6000000000004</v>
      </c>
      <c r="O490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17-SC2We -Par8/7</v>
      </c>
    </row>
    <row r="491" spans="1:15" x14ac:dyDescent="0.3">
      <c r="A491" t="s">
        <v>4</v>
      </c>
      <c r="B491" t="s">
        <v>48</v>
      </c>
      <c r="C491" s="1">
        <v>42924</v>
      </c>
      <c r="D491" t="s">
        <v>3</v>
      </c>
      <c r="E491">
        <v>175</v>
      </c>
      <c r="F491">
        <f>IFERROR(VLOOKUP(E491,Margins!$A:$B,2,TRUE),"")</f>
        <v>0.15</v>
      </c>
      <c r="G491">
        <f t="shared" si="21"/>
        <v>10237.5</v>
      </c>
      <c r="H491" t="s">
        <v>64</v>
      </c>
      <c r="I491">
        <v>390</v>
      </c>
      <c r="J491">
        <f>IF(Table1[[#This Row],[Tickets Sold]]&gt;500,8,5)</f>
        <v>5</v>
      </c>
      <c r="K491">
        <v>328</v>
      </c>
      <c r="L491" t="str">
        <f>VLOOKUP(H491,Descriptions!A:B, 2, FALSE)</f>
        <v>Seating Cat. 3</v>
      </c>
      <c r="M491">
        <f t="shared" ca="1" si="22"/>
        <v>-2278</v>
      </c>
      <c r="N491">
        <f t="shared" si="23"/>
        <v>8610</v>
      </c>
      <c r="O491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17-SC3We -Par8/7</v>
      </c>
    </row>
    <row r="492" spans="1:15" x14ac:dyDescent="0.3">
      <c r="A492" t="s">
        <v>4</v>
      </c>
      <c r="B492" t="s">
        <v>48</v>
      </c>
      <c r="C492" s="1">
        <v>42924</v>
      </c>
      <c r="D492" t="s">
        <v>3</v>
      </c>
      <c r="E492">
        <v>212</v>
      </c>
      <c r="F492">
        <f>IFERROR(VLOOKUP(E492,Margins!$A:$B,2,TRUE),"")</f>
        <v>0.25</v>
      </c>
      <c r="G492">
        <f t="shared" si="21"/>
        <v>10600</v>
      </c>
      <c r="H492" t="s">
        <v>65</v>
      </c>
      <c r="I492">
        <v>200</v>
      </c>
      <c r="J492">
        <f>IF(Table1[[#This Row],[Tickets Sold]]&gt;500,8,5)</f>
        <v>5</v>
      </c>
      <c r="K492">
        <v>178</v>
      </c>
      <c r="L492" t="str">
        <f>VLOOKUP(H492,Descriptions!A:B, 2, FALSE)</f>
        <v>Ticket + Air travel Package</v>
      </c>
      <c r="M492">
        <f t="shared" ca="1" si="22"/>
        <v>-2278</v>
      </c>
      <c r="N492">
        <f t="shared" si="23"/>
        <v>9434</v>
      </c>
      <c r="O492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17-TA1We -Par8/7</v>
      </c>
    </row>
    <row r="493" spans="1:15" x14ac:dyDescent="0.3">
      <c r="A493" t="s">
        <v>4</v>
      </c>
      <c r="B493" t="s">
        <v>48</v>
      </c>
      <c r="C493" s="1">
        <v>42924</v>
      </c>
      <c r="D493" t="s">
        <v>3</v>
      </c>
      <c r="E493">
        <v>400</v>
      </c>
      <c r="F493">
        <f>IFERROR(VLOOKUP(E493,Margins!$A:$B,2,TRUE),"")</f>
        <v>0.4</v>
      </c>
      <c r="G493">
        <f t="shared" si="21"/>
        <v>64000</v>
      </c>
      <c r="H493" t="s">
        <v>66</v>
      </c>
      <c r="I493">
        <v>400</v>
      </c>
      <c r="J493">
        <f>IF(Table1[[#This Row],[Tickets Sold]]&gt;500,8,5)</f>
        <v>5</v>
      </c>
      <c r="K493">
        <v>356</v>
      </c>
      <c r="L493" t="str">
        <f>VLOOKUP(H493,Descriptions!A:B, 2, FALSE)</f>
        <v>Ticket + Air travel + Hotel Package</v>
      </c>
      <c r="M493">
        <f t="shared" ca="1" si="22"/>
        <v>-2278</v>
      </c>
      <c r="N493">
        <f t="shared" si="23"/>
        <v>56960</v>
      </c>
      <c r="O493" t="str">
        <f>RIGHT(YEAR(Table1[[#This Row],[Event Date]]),2)&amp;"-"&amp;Table1[[#This Row],[Ticket Category]]&amp;LEFT(Table1[[#This Row],[Event]],3)&amp;"-"&amp;LEFT(Table1[[#This Row],[City]],3)&amp;DAY(Table1[[#This Row],[Event Date]])&amp;"/"&amp;MONTH(Table1[[#This Row],[Event Date]])</f>
        <v>17-TA2We -Par8/7</v>
      </c>
    </row>
  </sheetData>
  <sortState xmlns:xlrd2="http://schemas.microsoft.com/office/spreadsheetml/2017/richdata2" ref="A2:L493">
    <sortCondition ref="A2:A493"/>
    <sortCondition ref="C2:C493"/>
  </sortState>
  <conditionalFormatting sqref="O1:O1048576">
    <cfRule type="expression" dxfId="0" priority="1">
      <formula>AND($K2&gt;=500, $C2&gt;=DATE(2017,7,21))</formula>
    </cfRule>
  </conditionalFormatting>
  <dataValidations count="1">
    <dataValidation type="whole" allowBlank="1" showInputMessage="1" showErrorMessage="1" error=" “Warning! You can only enter a number between 1 and 10”_x000a_" sqref="J1:J1048576" xr:uid="{C5B9C108-DE72-42F5-9657-0C8DC3097810}">
      <formula1>1</formula1>
      <formula2>10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DC028-0F50-4E2B-B024-3606CB86CE14}">
  <dimension ref="A1:L33"/>
  <sheetViews>
    <sheetView zoomScale="66" workbookViewId="0">
      <selection activeCell="L33" sqref="A33:L33"/>
    </sheetView>
  </sheetViews>
  <sheetFormatPr defaultRowHeight="14.4" x14ac:dyDescent="0.3"/>
  <cols>
    <col min="1" max="1" width="17.109375" style="10" bestFit="1" customWidth="1"/>
    <col min="2" max="2" width="15.33203125" style="10" bestFit="1" customWidth="1"/>
    <col min="3" max="4" width="9.6640625" style="10" bestFit="1" customWidth="1"/>
    <col min="5" max="5" width="7" style="10" bestFit="1" customWidth="1"/>
    <col min="6" max="6" width="9.6640625" style="10" bestFit="1" customWidth="1"/>
    <col min="7" max="7" width="8.33203125" style="10" bestFit="1" customWidth="1"/>
    <col min="8" max="9" width="7" style="10" bestFit="1" customWidth="1"/>
    <col min="10" max="11" width="8.33203125" style="10" bestFit="1" customWidth="1"/>
    <col min="12" max="12" width="11" style="10" bestFit="1" customWidth="1"/>
    <col min="13" max="16384" width="8.88671875" style="10"/>
  </cols>
  <sheetData>
    <row r="1" spans="1:12" x14ac:dyDescent="0.3">
      <c r="A1" s="9" t="s">
        <v>40</v>
      </c>
      <c r="B1" s="10" t="s">
        <v>92</v>
      </c>
    </row>
    <row r="3" spans="1:12" x14ac:dyDescent="0.3">
      <c r="A3" s="9" t="s">
        <v>91</v>
      </c>
      <c r="B3" s="9" t="s">
        <v>90</v>
      </c>
    </row>
    <row r="4" spans="1:12" x14ac:dyDescent="0.3">
      <c r="A4" s="9" t="s">
        <v>85</v>
      </c>
      <c r="B4" s="10" t="s">
        <v>68</v>
      </c>
      <c r="C4" s="10" t="s">
        <v>69</v>
      </c>
      <c r="D4" s="10" t="s">
        <v>70</v>
      </c>
      <c r="E4" s="10" t="s">
        <v>11</v>
      </c>
      <c r="F4" s="10" t="s">
        <v>62</v>
      </c>
      <c r="G4" s="10" t="s">
        <v>63</v>
      </c>
      <c r="H4" s="10" t="s">
        <v>64</v>
      </c>
      <c r="I4" s="10" t="s">
        <v>67</v>
      </c>
      <c r="J4" s="10" t="s">
        <v>65</v>
      </c>
      <c r="K4" s="10" t="s">
        <v>66</v>
      </c>
      <c r="L4" s="10" t="s">
        <v>86</v>
      </c>
    </row>
    <row r="5" spans="1:12" x14ac:dyDescent="0.3">
      <c r="A5" s="11" t="s">
        <v>81</v>
      </c>
      <c r="E5" s="10">
        <v>81</v>
      </c>
      <c r="F5" s="10">
        <v>2697</v>
      </c>
      <c r="G5" s="10">
        <v>1644</v>
      </c>
      <c r="H5" s="10">
        <v>876</v>
      </c>
      <c r="I5" s="10">
        <v>214</v>
      </c>
      <c r="J5" s="10">
        <v>1176</v>
      </c>
      <c r="K5" s="10">
        <v>968</v>
      </c>
      <c r="L5" s="10">
        <v>7656</v>
      </c>
    </row>
    <row r="6" spans="1:12" x14ac:dyDescent="0.3">
      <c r="A6" s="12" t="s">
        <v>87</v>
      </c>
      <c r="F6" s="10">
        <v>1125</v>
      </c>
      <c r="G6" s="10">
        <v>687</v>
      </c>
      <c r="H6" s="10">
        <v>532</v>
      </c>
      <c r="I6" s="10">
        <v>98</v>
      </c>
      <c r="J6" s="10">
        <v>489</v>
      </c>
      <c r="K6" s="10">
        <v>395</v>
      </c>
      <c r="L6" s="10">
        <v>3326</v>
      </c>
    </row>
    <row r="7" spans="1:12" x14ac:dyDescent="0.3">
      <c r="A7" s="12" t="s">
        <v>88</v>
      </c>
      <c r="F7" s="10">
        <v>570</v>
      </c>
      <c r="G7" s="10">
        <v>353</v>
      </c>
      <c r="H7" s="10">
        <v>160</v>
      </c>
      <c r="I7" s="10">
        <v>35</v>
      </c>
      <c r="J7" s="10">
        <v>246</v>
      </c>
      <c r="K7" s="10">
        <v>186</v>
      </c>
      <c r="L7" s="10">
        <v>1550</v>
      </c>
    </row>
    <row r="8" spans="1:12" x14ac:dyDescent="0.3">
      <c r="A8" s="12" t="s">
        <v>89</v>
      </c>
      <c r="E8" s="10">
        <v>81</v>
      </c>
      <c r="F8" s="10">
        <v>1002</v>
      </c>
      <c r="G8" s="10">
        <v>604</v>
      </c>
      <c r="H8" s="10">
        <v>184</v>
      </c>
      <c r="I8" s="10">
        <v>81</v>
      </c>
      <c r="J8" s="10">
        <v>441</v>
      </c>
      <c r="K8" s="10">
        <v>387</v>
      </c>
      <c r="L8" s="10">
        <v>2780</v>
      </c>
    </row>
    <row r="9" spans="1:12" x14ac:dyDescent="0.3">
      <c r="A9" s="11" t="s">
        <v>80</v>
      </c>
      <c r="E9" s="10">
        <v>201</v>
      </c>
      <c r="F9" s="10">
        <v>6193</v>
      </c>
      <c r="G9" s="10">
        <v>1861</v>
      </c>
      <c r="H9" s="10">
        <v>863</v>
      </c>
      <c r="I9" s="10">
        <v>168</v>
      </c>
      <c r="J9" s="10">
        <v>1152</v>
      </c>
      <c r="K9" s="10">
        <v>1112</v>
      </c>
      <c r="L9" s="10">
        <v>11550</v>
      </c>
    </row>
    <row r="10" spans="1:12" x14ac:dyDescent="0.3">
      <c r="A10" s="12" t="s">
        <v>87</v>
      </c>
      <c r="E10" s="10">
        <v>94</v>
      </c>
      <c r="F10" s="10">
        <v>3049</v>
      </c>
      <c r="G10" s="10">
        <v>628</v>
      </c>
      <c r="H10" s="10">
        <v>264</v>
      </c>
      <c r="I10" s="10">
        <v>49</v>
      </c>
      <c r="J10" s="10">
        <v>264</v>
      </c>
      <c r="K10" s="10">
        <v>164</v>
      </c>
      <c r="L10" s="10">
        <v>4512</v>
      </c>
    </row>
    <row r="11" spans="1:12" x14ac:dyDescent="0.3">
      <c r="A11" s="12" t="s">
        <v>88</v>
      </c>
      <c r="E11" s="10">
        <v>107</v>
      </c>
      <c r="F11" s="10">
        <v>2147</v>
      </c>
      <c r="G11" s="10">
        <v>953</v>
      </c>
      <c r="H11" s="10">
        <v>400</v>
      </c>
      <c r="I11" s="10">
        <v>69</v>
      </c>
      <c r="J11" s="10">
        <v>720</v>
      </c>
      <c r="K11" s="10">
        <v>756</v>
      </c>
      <c r="L11" s="10">
        <v>5152</v>
      </c>
    </row>
    <row r="12" spans="1:12" x14ac:dyDescent="0.3">
      <c r="A12" s="12" t="s">
        <v>89</v>
      </c>
      <c r="F12" s="10">
        <v>997</v>
      </c>
      <c r="G12" s="10">
        <v>280</v>
      </c>
      <c r="H12" s="10">
        <v>199</v>
      </c>
      <c r="I12" s="10">
        <v>50</v>
      </c>
      <c r="J12" s="10">
        <v>168</v>
      </c>
      <c r="K12" s="10">
        <v>192</v>
      </c>
      <c r="L12" s="10">
        <v>1886</v>
      </c>
    </row>
    <row r="13" spans="1:12" x14ac:dyDescent="0.3">
      <c r="A13" s="11" t="s">
        <v>79</v>
      </c>
      <c r="B13" s="10">
        <v>229484</v>
      </c>
      <c r="F13" s="10">
        <v>16190</v>
      </c>
      <c r="G13" s="10">
        <v>3584</v>
      </c>
      <c r="J13" s="10">
        <v>4318</v>
      </c>
      <c r="K13" s="10">
        <v>4308</v>
      </c>
      <c r="L13" s="10">
        <v>257884</v>
      </c>
    </row>
    <row r="14" spans="1:12" x14ac:dyDescent="0.3">
      <c r="A14" s="12" t="s">
        <v>87</v>
      </c>
      <c r="B14" s="10">
        <v>42043</v>
      </c>
      <c r="F14" s="10">
        <v>3497</v>
      </c>
      <c r="G14" s="10">
        <v>540</v>
      </c>
      <c r="J14" s="10">
        <v>701</v>
      </c>
      <c r="K14" s="10">
        <v>556</v>
      </c>
      <c r="L14" s="10">
        <v>47337</v>
      </c>
    </row>
    <row r="15" spans="1:12" x14ac:dyDescent="0.3">
      <c r="A15" s="12" t="s">
        <v>88</v>
      </c>
      <c r="B15" s="10">
        <v>81821</v>
      </c>
      <c r="F15" s="10">
        <v>6194</v>
      </c>
      <c r="G15" s="10">
        <v>2454</v>
      </c>
      <c r="J15" s="10">
        <v>1887</v>
      </c>
      <c r="K15" s="10">
        <v>1619</v>
      </c>
      <c r="L15" s="10">
        <v>93975</v>
      </c>
    </row>
    <row r="16" spans="1:12" x14ac:dyDescent="0.3">
      <c r="A16" s="12" t="s">
        <v>89</v>
      </c>
      <c r="B16" s="10">
        <v>105620</v>
      </c>
      <c r="F16" s="10">
        <v>6499</v>
      </c>
      <c r="G16" s="10">
        <v>590</v>
      </c>
      <c r="J16" s="10">
        <v>1730</v>
      </c>
      <c r="K16" s="10">
        <v>2133</v>
      </c>
      <c r="L16" s="10">
        <v>116572</v>
      </c>
    </row>
    <row r="17" spans="1:12" x14ac:dyDescent="0.3">
      <c r="A17" s="11" t="s">
        <v>29</v>
      </c>
      <c r="B17" s="10">
        <v>1299300</v>
      </c>
      <c r="C17" s="10">
        <v>206000</v>
      </c>
      <c r="D17" s="10">
        <v>160500</v>
      </c>
      <c r="E17" s="10">
        <v>323</v>
      </c>
      <c r="F17" s="10">
        <v>39342</v>
      </c>
      <c r="G17" s="10">
        <v>3606</v>
      </c>
      <c r="H17" s="10">
        <v>255</v>
      </c>
      <c r="I17" s="10">
        <v>1107</v>
      </c>
      <c r="J17" s="10">
        <v>3595</v>
      </c>
      <c r="K17" s="10">
        <v>2924</v>
      </c>
      <c r="L17" s="10">
        <v>1716952</v>
      </c>
    </row>
    <row r="18" spans="1:12" x14ac:dyDescent="0.3">
      <c r="A18" s="12" t="s">
        <v>87</v>
      </c>
      <c r="B18" s="10">
        <v>328850</v>
      </c>
      <c r="D18" s="10">
        <v>127500</v>
      </c>
      <c r="F18" s="10">
        <v>11681</v>
      </c>
      <c r="G18" s="10">
        <v>1410</v>
      </c>
      <c r="H18" s="10">
        <v>255</v>
      </c>
      <c r="I18" s="10">
        <v>275</v>
      </c>
      <c r="J18" s="10">
        <v>797</v>
      </c>
      <c r="K18" s="10">
        <v>714</v>
      </c>
      <c r="L18" s="10">
        <v>471482</v>
      </c>
    </row>
    <row r="19" spans="1:12" x14ac:dyDescent="0.3">
      <c r="A19" s="12" t="s">
        <v>88</v>
      </c>
      <c r="B19" s="10">
        <v>817950</v>
      </c>
      <c r="C19" s="10">
        <v>206000</v>
      </c>
      <c r="D19" s="10">
        <v>33000</v>
      </c>
      <c r="E19" s="10">
        <v>323</v>
      </c>
      <c r="F19" s="10">
        <v>22083</v>
      </c>
      <c r="G19" s="10">
        <v>1952</v>
      </c>
      <c r="I19" s="10">
        <v>771</v>
      </c>
      <c r="J19" s="10">
        <v>2276</v>
      </c>
      <c r="K19" s="10">
        <v>1745</v>
      </c>
      <c r="L19" s="10">
        <v>1086100</v>
      </c>
    </row>
    <row r="20" spans="1:12" x14ac:dyDescent="0.3">
      <c r="A20" s="12" t="s">
        <v>89</v>
      </c>
      <c r="B20" s="10">
        <v>152500</v>
      </c>
      <c r="F20" s="10">
        <v>5578</v>
      </c>
      <c r="G20" s="10">
        <v>244</v>
      </c>
      <c r="I20" s="10">
        <v>61</v>
      </c>
      <c r="J20" s="10">
        <v>522</v>
      </c>
      <c r="K20" s="10">
        <v>465</v>
      </c>
      <c r="L20" s="10">
        <v>159370</v>
      </c>
    </row>
    <row r="21" spans="1:12" x14ac:dyDescent="0.3">
      <c r="A21" s="11" t="s">
        <v>3</v>
      </c>
      <c r="B21" s="10">
        <v>27437</v>
      </c>
      <c r="E21" s="10">
        <v>199</v>
      </c>
      <c r="F21" s="10">
        <v>14443</v>
      </c>
      <c r="G21" s="10">
        <v>8611</v>
      </c>
      <c r="H21" s="10">
        <v>1637</v>
      </c>
      <c r="J21" s="10">
        <v>2559</v>
      </c>
      <c r="K21" s="10">
        <v>2725</v>
      </c>
      <c r="L21" s="10">
        <v>57611</v>
      </c>
    </row>
    <row r="22" spans="1:12" x14ac:dyDescent="0.3">
      <c r="A22" s="12" t="s">
        <v>87</v>
      </c>
      <c r="B22" s="10">
        <v>17689</v>
      </c>
      <c r="F22" s="10">
        <v>5096</v>
      </c>
      <c r="G22" s="10">
        <v>3592</v>
      </c>
      <c r="H22" s="10">
        <v>1114</v>
      </c>
      <c r="J22" s="10">
        <v>1100</v>
      </c>
      <c r="K22" s="10">
        <v>1178</v>
      </c>
      <c r="L22" s="10">
        <v>29769</v>
      </c>
    </row>
    <row r="23" spans="1:12" x14ac:dyDescent="0.3">
      <c r="A23" s="12" t="s">
        <v>88</v>
      </c>
      <c r="B23" s="10">
        <v>9748</v>
      </c>
      <c r="E23" s="10">
        <v>87</v>
      </c>
      <c r="F23" s="10">
        <v>4843</v>
      </c>
      <c r="G23" s="10">
        <v>2889</v>
      </c>
      <c r="H23" s="10">
        <v>523</v>
      </c>
      <c r="J23" s="10">
        <v>496</v>
      </c>
      <c r="K23" s="10">
        <v>743</v>
      </c>
      <c r="L23" s="10">
        <v>19329</v>
      </c>
    </row>
    <row r="24" spans="1:12" x14ac:dyDescent="0.3">
      <c r="A24" s="12" t="s">
        <v>89</v>
      </c>
      <c r="E24" s="10">
        <v>112</v>
      </c>
      <c r="F24" s="10">
        <v>4504</v>
      </c>
      <c r="G24" s="10">
        <v>2130</v>
      </c>
      <c r="J24" s="10">
        <v>963</v>
      </c>
      <c r="K24" s="10">
        <v>804</v>
      </c>
      <c r="L24" s="10">
        <v>8513</v>
      </c>
    </row>
    <row r="25" spans="1:12" x14ac:dyDescent="0.3">
      <c r="A25" s="11" t="s">
        <v>20</v>
      </c>
      <c r="E25" s="10">
        <v>414</v>
      </c>
      <c r="F25" s="10">
        <v>26883</v>
      </c>
      <c r="G25" s="10">
        <v>9213</v>
      </c>
      <c r="H25" s="10">
        <v>3670</v>
      </c>
      <c r="I25" s="10">
        <v>127</v>
      </c>
      <c r="J25" s="10">
        <v>2677</v>
      </c>
      <c r="K25" s="10">
        <v>2699</v>
      </c>
      <c r="L25" s="10">
        <v>45683</v>
      </c>
    </row>
    <row r="26" spans="1:12" x14ac:dyDescent="0.3">
      <c r="A26" s="12" t="s">
        <v>87</v>
      </c>
      <c r="E26" s="10">
        <v>55</v>
      </c>
      <c r="F26" s="10">
        <v>9370</v>
      </c>
      <c r="G26" s="10">
        <v>3411</v>
      </c>
      <c r="H26" s="10">
        <v>1416</v>
      </c>
      <c r="J26" s="10">
        <v>865</v>
      </c>
      <c r="K26" s="10">
        <v>921</v>
      </c>
      <c r="L26" s="10">
        <v>16038</v>
      </c>
    </row>
    <row r="27" spans="1:12" x14ac:dyDescent="0.3">
      <c r="A27" s="12" t="s">
        <v>88</v>
      </c>
      <c r="E27" s="10">
        <v>90</v>
      </c>
      <c r="F27" s="10">
        <v>10395</v>
      </c>
      <c r="G27" s="10">
        <v>3551</v>
      </c>
      <c r="H27" s="10">
        <v>932</v>
      </c>
      <c r="I27" s="10">
        <v>76</v>
      </c>
      <c r="J27" s="10">
        <v>604</v>
      </c>
      <c r="K27" s="10">
        <v>689</v>
      </c>
      <c r="L27" s="10">
        <v>16337</v>
      </c>
    </row>
    <row r="28" spans="1:12" x14ac:dyDescent="0.3">
      <c r="A28" s="12" t="s">
        <v>89</v>
      </c>
      <c r="E28" s="10">
        <v>269</v>
      </c>
      <c r="F28" s="10">
        <v>7118</v>
      </c>
      <c r="G28" s="10">
        <v>2251</v>
      </c>
      <c r="H28" s="10">
        <v>1322</v>
      </c>
      <c r="I28" s="10">
        <v>51</v>
      </c>
      <c r="J28" s="10">
        <v>1208</v>
      </c>
      <c r="K28" s="10">
        <v>1089</v>
      </c>
      <c r="L28" s="10">
        <v>13308</v>
      </c>
    </row>
    <row r="29" spans="1:12" x14ac:dyDescent="0.3">
      <c r="A29" s="11" t="s">
        <v>82</v>
      </c>
      <c r="E29" s="10">
        <v>229</v>
      </c>
      <c r="F29" s="10">
        <v>7016</v>
      </c>
      <c r="G29" s="10">
        <v>1573</v>
      </c>
      <c r="H29" s="10">
        <v>489</v>
      </c>
      <c r="I29" s="10">
        <v>184</v>
      </c>
      <c r="J29" s="10">
        <v>2129</v>
      </c>
      <c r="K29" s="10">
        <v>1997</v>
      </c>
      <c r="L29" s="10">
        <v>13617</v>
      </c>
    </row>
    <row r="30" spans="1:12" x14ac:dyDescent="0.3">
      <c r="A30" s="12" t="s">
        <v>87</v>
      </c>
      <c r="E30" s="10">
        <v>140</v>
      </c>
      <c r="F30" s="10">
        <v>3331</v>
      </c>
      <c r="G30" s="10">
        <v>413</v>
      </c>
      <c r="I30" s="10">
        <v>91</v>
      </c>
      <c r="J30" s="10">
        <v>776</v>
      </c>
      <c r="K30" s="10">
        <v>815</v>
      </c>
      <c r="L30" s="10">
        <v>5566</v>
      </c>
    </row>
    <row r="31" spans="1:12" x14ac:dyDescent="0.3">
      <c r="A31" s="12" t="s">
        <v>88</v>
      </c>
      <c r="E31" s="10">
        <v>89</v>
      </c>
      <c r="F31" s="10">
        <v>2779</v>
      </c>
      <c r="G31" s="10">
        <v>912</v>
      </c>
      <c r="H31" s="10">
        <v>489</v>
      </c>
      <c r="I31" s="10">
        <v>93</v>
      </c>
      <c r="J31" s="10">
        <v>1077</v>
      </c>
      <c r="K31" s="10">
        <v>942</v>
      </c>
      <c r="L31" s="10">
        <v>6381</v>
      </c>
    </row>
    <row r="32" spans="1:12" x14ac:dyDescent="0.3">
      <c r="A32" s="12" t="s">
        <v>89</v>
      </c>
      <c r="F32" s="10">
        <v>906</v>
      </c>
      <c r="G32" s="10">
        <v>248</v>
      </c>
      <c r="J32" s="10">
        <v>276</v>
      </c>
      <c r="K32" s="10">
        <v>240</v>
      </c>
      <c r="L32" s="10">
        <v>1670</v>
      </c>
    </row>
    <row r="33" spans="1:12" x14ac:dyDescent="0.3">
      <c r="A33" s="20" t="s">
        <v>86</v>
      </c>
      <c r="B33" s="21">
        <v>1556221</v>
      </c>
      <c r="C33" s="21">
        <v>206000</v>
      </c>
      <c r="D33" s="21">
        <v>160500</v>
      </c>
      <c r="E33" s="21">
        <v>1447</v>
      </c>
      <c r="F33" s="21">
        <v>112764</v>
      </c>
      <c r="G33" s="21">
        <v>30092</v>
      </c>
      <c r="H33" s="21">
        <v>7790</v>
      </c>
      <c r="I33" s="21">
        <v>1800</v>
      </c>
      <c r="J33" s="21">
        <v>17606</v>
      </c>
      <c r="K33" s="21">
        <v>16733</v>
      </c>
      <c r="L33" s="21">
        <v>2110953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9BB5-83B7-46F4-9D77-B781E884635B}">
  <dimension ref="A1:C9"/>
  <sheetViews>
    <sheetView workbookViewId="0">
      <selection activeCell="F11" sqref="F11"/>
    </sheetView>
  </sheetViews>
  <sheetFormatPr defaultRowHeight="14.4" x14ac:dyDescent="0.3"/>
  <cols>
    <col min="2" max="2" width="18.6640625" bestFit="1" customWidth="1"/>
    <col min="3" max="3" width="17.5546875" bestFit="1" customWidth="1"/>
  </cols>
  <sheetData>
    <row r="1" spans="1:3" ht="15" thickBot="1" x14ac:dyDescent="0.35">
      <c r="A1" s="17" t="s">
        <v>42</v>
      </c>
      <c r="B1" s="17" t="s">
        <v>96</v>
      </c>
      <c r="C1" s="17" t="s">
        <v>97</v>
      </c>
    </row>
    <row r="2" spans="1:3" ht="15" thickBot="1" x14ac:dyDescent="0.35">
      <c r="A2" s="18" t="s">
        <v>20</v>
      </c>
      <c r="B2" s="18" cm="1">
        <f t="array" ref="B2">IFERROR(SUMPRODUCT((Events!$D$2:$D$493="Opera")*(MONTH(Events!$C$2:$C$493)=7)*Events!$K$2:$K$493)/SUMPRODUCT((Events!$D$2:$D$493="Opera")*(MONTH(Events!$C$2:$C$493)=7)*Events!$I$2:$I$493),"")</f>
        <v>0.75466555801921653</v>
      </c>
      <c r="C2" s="18" cm="1">
        <f t="array" ref="C2">SUMPRODUCT((Events!$D$2:$D$493="Opera")*(MONTH(Events!$C$2:$C$493)=7)*IF(ISNUMBER(Events!$G$2:$G$493),Events!$G$2:$G$493,0))</f>
        <v>290221.80000000005</v>
      </c>
    </row>
    <row r="3" spans="1:3" ht="15" thickBot="1" x14ac:dyDescent="0.35">
      <c r="A3" s="18" t="s">
        <v>3</v>
      </c>
      <c r="B3" s="18" cm="1">
        <f t="array" ref="B3">IFERROR(SUMPRODUCT((Events!$D$2:$D$493="Musical")*(MONTH(Events!$C$2:$C$493)=7)*Events!$K$2:$K$493)/SUMPRODUCT((Events!$D$2:$D$493="Musical")*(MONTH(Events!$C$2:$C$493)=7)*Events!$I$2:$I$493),"")</f>
        <v>0.78005569232010974</v>
      </c>
      <c r="C3" s="18" cm="1">
        <f t="array" ref="C3">SUMPRODUCT((Events!$D$2:$D$493="Musical")*(MONTH(Events!$C$2:$C$493)=7)*IF(ISNUMBER(Events!$G$2:$G$493),Events!$G$2:$G$493,0))</f>
        <v>324954.62</v>
      </c>
    </row>
    <row r="4" spans="1:3" ht="15" thickBot="1" x14ac:dyDescent="0.35">
      <c r="A4" s="18" t="s">
        <v>79</v>
      </c>
      <c r="B4" s="18" cm="1">
        <f t="array" ref="B4">IFERROR(SUMPRODUCT((Events!$D$2:$D$493="Concert")*(MONTH(Events!$C$2:$C$493)=7)*Events!$K$2:$K$493)/SUMPRODUCT((Events!$D$2:$D$493="Concert")*(MONTH(Events!$C$2:$C$493)=7)*Events!$I$2:$I$493),"")</f>
        <v>0.68882992369545615</v>
      </c>
      <c r="C4" s="18" cm="1">
        <f t="array" ref="C4">SUMPRODUCT((Events!$D$2:$D$493="Concert")*(MONTH(Events!$C$2:$C$493)=7)*IF(ISNUMBER(Events!$G$2:$G$493),Events!$G$2:$G$493,0))</f>
        <v>1094070.81</v>
      </c>
    </row>
    <row r="5" spans="1:3" ht="15" thickBot="1" x14ac:dyDescent="0.35">
      <c r="A5" s="18" t="s">
        <v>29</v>
      </c>
      <c r="B5" s="18" cm="1">
        <f t="array" ref="B5">IFERROR(SUMPRODUCT((Events!$D$2:$D$493="Festival")*(MONTH(Events!$C$2:$C$493)=7)*Events!$K$2:$K$493)/SUMPRODUCT((Events!$D$2:$D$493="Festival")*(MONTH(Events!$C$2:$C$493)=7)*Events!$I$2:$I$493),"")</f>
        <v>0.73093649513897951</v>
      </c>
      <c r="C5" s="18" cm="1">
        <f t="array" ref="C5">SUMPRODUCT((Events!$D$2:$D$493="Festival")*(MONTH(Events!$C$2:$C$493)=7)*IF(ISNUMBER(Events!$G$2:$G$493),Events!$G$2:$G$493,0))</f>
        <v>9832497.1699999999</v>
      </c>
    </row>
    <row r="6" spans="1:3" ht="15" thickBot="1" x14ac:dyDescent="0.35">
      <c r="A6" s="18" t="s">
        <v>80</v>
      </c>
      <c r="B6" s="18" cm="1">
        <f t="array" ref="B6">IFERROR(SUMPRODUCT((Events!$D$2:$D$493="Classical")*(MONTH(Events!$C$2:$C$493)=7)*Events!$K$2:$K$493)/SUMPRODUCT((Events!$D$2:$D$493="Classical")*(MONTH(Events!$C$2:$C$493)=7)*Events!$I$2:$I$493),"")</f>
        <v>0.71013094417643008</v>
      </c>
      <c r="C6" s="18" cm="1">
        <f t="array" ref="C6">SUMPRODUCT((Events!$D$2:$D$493="Classical")*(MONTH(Events!$C$2:$C$493)=7)*IF(ISNUMBER(Events!$G$2:$G$493),Events!$G$2:$G$493,0))</f>
        <v>170351.8</v>
      </c>
    </row>
    <row r="7" spans="1:3" ht="15" thickBot="1" x14ac:dyDescent="0.35">
      <c r="A7" s="18" t="s">
        <v>81</v>
      </c>
      <c r="B7" s="18" cm="1">
        <f t="array" ref="B7">IFERROR(SUMPRODUCT((Events!$D$2:$D$493="Ballet")*(MONTH(Events!$C$2:$C$493)=7)*Events!$K$2:$K$493)/SUMPRODUCT((Events!$D$2:$D$493="Ballet")*(MONTH(Events!$C$2:$C$493)=7)*Events!$I$2:$I$493),"")</f>
        <v>0.76317085179714428</v>
      </c>
      <c r="C7" s="18" cm="1">
        <f t="array" ref="C7">SUMPRODUCT((Events!$D$2:$D$493="Ballet")*(MONTH(Events!$C$2:$C$493)=7)*IF(ISNUMBER(Events!$G$2:$G$493),Events!$G$2:$G$493,0))</f>
        <v>56431.11</v>
      </c>
    </row>
    <row r="8" spans="1:3" ht="15" thickBot="1" x14ac:dyDescent="0.35">
      <c r="A8" s="18" t="s">
        <v>98</v>
      </c>
      <c r="B8" s="18" cm="1">
        <f t="array" ref="B8">IFERROR(SUMPRODUCT((Events!$D$2:$D$493="Theatre")*(MONTH(Events!$C$2:$C$493)=7)*Events!$K$2:$K$493)/SUMPRODUCT((Events!$D$2:$D$493="Theatre")*(MONTH(Events!$C$2:$C$493)=7)*Events!$I$2:$I$493),"")</f>
        <v>0.7145576707726764</v>
      </c>
      <c r="C8" s="18" cm="1">
        <f t="array" ref="C8">SUMPRODUCT((Events!$D$2:$D$493="Theatre")*(MONTH(Events!$C$2:$C$493)=7)*IF(ISNUMBER(Events!$G$2:$G$493),Events!$G$2:$G$493,0))</f>
        <v>246292.1</v>
      </c>
    </row>
    <row r="9" spans="1:3" x14ac:dyDescent="0.3">
      <c r="A9" s="19" t="s">
        <v>99</v>
      </c>
      <c r="B9" s="19" cm="1">
        <f t="array" ref="B9">IFERROR(SUMPRODUCT((MONTH(Events!$C$2:$C$493)=7)*Events!$K$2:$K$493)/SUMPRODUCT((MONTH(Events!$C$2:$C$493)=7)*Events!$I$2:$I$493),"")</f>
        <v>0.72841991449769172</v>
      </c>
      <c r="C9" s="19">
        <f>SUM(C2:C8)</f>
        <v>12014819.41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cols>
    <col min="2" max="2" width="33.21875" bestFit="1" customWidth="1"/>
    <col min="6" max="6" width="14" bestFit="1" customWidth="1"/>
    <col min="8" max="8" width="19.77734375" bestFit="1" customWidth="1"/>
  </cols>
  <sheetData>
    <row r="1" spans="1:2" x14ac:dyDescent="0.3">
      <c r="A1" s="2" t="s">
        <v>57</v>
      </c>
      <c r="B1" s="2" t="s">
        <v>58</v>
      </c>
    </row>
    <row r="2" spans="1:2" x14ac:dyDescent="0.3">
      <c r="A2" t="s">
        <v>65</v>
      </c>
      <c r="B2" t="s">
        <v>59</v>
      </c>
    </row>
    <row r="3" spans="1:2" x14ac:dyDescent="0.3">
      <c r="A3" t="s">
        <v>66</v>
      </c>
      <c r="B3" t="s">
        <v>60</v>
      </c>
    </row>
    <row r="4" spans="1:2" x14ac:dyDescent="0.3">
      <c r="A4" t="s">
        <v>68</v>
      </c>
      <c r="B4" t="s">
        <v>71</v>
      </c>
    </row>
    <row r="5" spans="1:2" x14ac:dyDescent="0.3">
      <c r="A5" t="s">
        <v>69</v>
      </c>
      <c r="B5" t="s">
        <v>72</v>
      </c>
    </row>
    <row r="6" spans="1:2" x14ac:dyDescent="0.3">
      <c r="A6" t="s">
        <v>70</v>
      </c>
      <c r="B6" t="s">
        <v>73</v>
      </c>
    </row>
    <row r="7" spans="1:2" x14ac:dyDescent="0.3">
      <c r="A7" t="s">
        <v>62</v>
      </c>
      <c r="B7" s="4" t="s">
        <v>74</v>
      </c>
    </row>
    <row r="8" spans="1:2" x14ac:dyDescent="0.3">
      <c r="A8" t="s">
        <v>63</v>
      </c>
      <c r="B8" s="4" t="s">
        <v>75</v>
      </c>
    </row>
    <row r="9" spans="1:2" x14ac:dyDescent="0.3">
      <c r="A9" t="s">
        <v>64</v>
      </c>
      <c r="B9" s="4" t="s">
        <v>76</v>
      </c>
    </row>
    <row r="10" spans="1:2" x14ac:dyDescent="0.3">
      <c r="A10" t="s">
        <v>67</v>
      </c>
      <c r="B10" s="4" t="s">
        <v>77</v>
      </c>
    </row>
    <row r="11" spans="1:2" x14ac:dyDescent="0.3">
      <c r="A11" t="s">
        <v>11</v>
      </c>
      <c r="B11" t="s">
        <v>61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C1" sqref="C1"/>
    </sheetView>
  </sheetViews>
  <sheetFormatPr defaultRowHeight="14.4" x14ac:dyDescent="0.3"/>
  <cols>
    <col min="1" max="1" width="15.77734375" customWidth="1"/>
    <col min="2" max="2" width="22" style="15" customWidth="1"/>
  </cols>
  <sheetData>
    <row r="1" spans="1:2" ht="28.8" x14ac:dyDescent="0.3">
      <c r="A1" s="16" t="s">
        <v>43</v>
      </c>
      <c r="B1" s="13" t="s">
        <v>78</v>
      </c>
    </row>
    <row r="2" spans="1:2" x14ac:dyDescent="0.3">
      <c r="A2" s="6">
        <v>0</v>
      </c>
      <c r="B2" s="14">
        <v>7.0000000000000007E-2</v>
      </c>
    </row>
    <row r="3" spans="1:2" x14ac:dyDescent="0.3">
      <c r="A3" s="6">
        <v>50</v>
      </c>
      <c r="B3" s="14">
        <v>0.1</v>
      </c>
    </row>
    <row r="4" spans="1:2" x14ac:dyDescent="0.3">
      <c r="A4" s="6">
        <v>100</v>
      </c>
      <c r="B4" s="14">
        <v>0.15</v>
      </c>
    </row>
    <row r="5" spans="1:2" x14ac:dyDescent="0.3">
      <c r="A5" s="6">
        <v>200</v>
      </c>
      <c r="B5" s="14">
        <v>0.25</v>
      </c>
    </row>
    <row r="6" spans="1:2" x14ac:dyDescent="0.3">
      <c r="A6" s="6">
        <v>400</v>
      </c>
      <c r="B6" s="14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Events</vt:lpstr>
      <vt:lpstr>Pivot</vt:lpstr>
      <vt:lpstr>Calculation </vt:lpstr>
      <vt:lpstr>Descriptions</vt:lpstr>
      <vt:lpstr>Margins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2026-03-31T15:42:26Z</dcterms:modified>
</cp:coreProperties>
</file>